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edrovictor.veras\Downloads\"/>
    </mc:Choice>
  </mc:AlternateContent>
  <xr:revisionPtr revIDLastSave="0" documentId="13_ncr:1_{34803D22-9D16-4BB1-B35C-8FDF33C53FA5}" xr6:coauthVersionLast="47" xr6:coauthVersionMax="47" xr10:uidLastSave="{00000000-0000-0000-0000-000000000000}"/>
  <bookViews>
    <workbookView xWindow="-120" yWindow="-120" windowWidth="29040" windowHeight="15720" activeTab="1" xr2:uid="{2CDCD482-A3C4-450D-A7A9-E5AE9C8DB95E}"/>
  </bookViews>
  <sheets>
    <sheet name="PENDÊNCIAS" sheetId="1" r:id="rId1"/>
    <sheet name="CONCLUÍDOS 2025" sheetId="3" r:id="rId2"/>
    <sheet name="CONCLUÍDOS 2024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K1" i="3"/>
  <c r="I1" i="3"/>
  <c r="I1" i="1"/>
  <c r="E62" i="3" s="1"/>
  <c r="H2" i="2"/>
  <c r="E7" i="2" s="1"/>
  <c r="D17" i="1" l="1"/>
  <c r="D14" i="1"/>
  <c r="E17" i="1"/>
  <c r="E16" i="1"/>
  <c r="D16" i="1"/>
  <c r="E15" i="1"/>
  <c r="D15" i="1"/>
  <c r="E14" i="1"/>
  <c r="E69" i="3"/>
  <c r="D69" i="3"/>
  <c r="E68" i="3"/>
  <c r="D68" i="3"/>
  <c r="D67" i="3"/>
  <c r="D66" i="3"/>
  <c r="E67" i="3"/>
  <c r="E66" i="3"/>
  <c r="E13" i="1"/>
  <c r="D13" i="1"/>
  <c r="D65" i="3"/>
  <c r="E65" i="3"/>
  <c r="D64" i="3"/>
  <c r="E64" i="3"/>
  <c r="D62" i="3"/>
  <c r="D63" i="3"/>
  <c r="E63" i="3"/>
  <c r="E26" i="3"/>
  <c r="E61" i="3"/>
  <c r="D61" i="3"/>
  <c r="D59" i="3"/>
  <c r="E60" i="3"/>
  <c r="D60" i="3"/>
  <c r="E59" i="3"/>
  <c r="E58" i="3"/>
  <c r="D58" i="3"/>
  <c r="E57" i="3"/>
  <c r="D57" i="3"/>
  <c r="D56" i="3"/>
  <c r="E56" i="3"/>
  <c r="D55" i="3"/>
  <c r="E54" i="3"/>
  <c r="D54" i="3"/>
  <c r="E55" i="3"/>
  <c r="E53" i="3"/>
  <c r="D53" i="3"/>
  <c r="D50" i="3"/>
  <c r="D52" i="3"/>
  <c r="E52" i="3"/>
  <c r="E51" i="3"/>
  <c r="D51" i="3"/>
  <c r="E50" i="3"/>
  <c r="E49" i="3"/>
  <c r="D49" i="3"/>
  <c r="E48" i="3"/>
  <c r="D48" i="3"/>
  <c r="E46" i="3"/>
  <c r="E47" i="3"/>
  <c r="D47" i="3"/>
  <c r="D46" i="3"/>
  <c r="E45" i="3"/>
  <c r="D45" i="3"/>
  <c r="E44" i="3"/>
  <c r="D44" i="3"/>
  <c r="D43" i="3"/>
  <c r="E43" i="3"/>
  <c r="D42" i="3"/>
  <c r="E42" i="3"/>
  <c r="E41" i="3"/>
  <c r="D41" i="3"/>
  <c r="E40" i="3"/>
  <c r="D40" i="3"/>
  <c r="D39" i="3"/>
  <c r="E39" i="3"/>
  <c r="D35" i="3"/>
  <c r="E37" i="3"/>
  <c r="E35" i="3"/>
  <c r="D33" i="3"/>
  <c r="D38" i="3"/>
  <c r="E36" i="3"/>
  <c r="D36" i="3"/>
  <c r="D37" i="3"/>
  <c r="E34" i="3"/>
  <c r="D34" i="3"/>
  <c r="E33" i="3"/>
  <c r="E38" i="3"/>
  <c r="D30" i="3"/>
  <c r="D31" i="3"/>
  <c r="E31" i="3"/>
  <c r="E30" i="3"/>
  <c r="E28" i="3"/>
  <c r="D28" i="3"/>
  <c r="E27" i="3"/>
  <c r="D27" i="3"/>
  <c r="D25" i="3"/>
  <c r="D23" i="3"/>
  <c r="E24" i="3"/>
  <c r="D24" i="3"/>
  <c r="E23" i="3"/>
  <c r="E25" i="3"/>
  <c r="D26" i="3"/>
  <c r="E32" i="3"/>
  <c r="D32" i="3"/>
  <c r="D22" i="3"/>
  <c r="E22" i="3"/>
  <c r="D21" i="3"/>
  <c r="E21" i="3"/>
  <c r="E19" i="3"/>
  <c r="D19" i="3"/>
  <c r="E29" i="3"/>
  <c r="D29" i="3"/>
  <c r="D20" i="3"/>
  <c r="E20" i="3"/>
  <c r="E16" i="3"/>
  <c r="D16" i="3"/>
  <c r="D14" i="3"/>
  <c r="E15" i="3"/>
  <c r="D17" i="3"/>
  <c r="E17" i="3"/>
  <c r="D18" i="3"/>
  <c r="E18" i="3"/>
  <c r="D15" i="3"/>
  <c r="E14" i="3"/>
  <c r="D7" i="3"/>
  <c r="E7" i="3"/>
  <c r="E8" i="3"/>
  <c r="D13" i="3"/>
  <c r="E13" i="3"/>
  <c r="D8" i="3"/>
  <c r="D12" i="3"/>
  <c r="D11" i="3"/>
  <c r="E12" i="3"/>
  <c r="E11" i="3"/>
  <c r="D10" i="3"/>
  <c r="E10" i="3"/>
  <c r="D65" i="2"/>
  <c r="E9" i="3"/>
  <c r="D9" i="3"/>
  <c r="D6" i="3"/>
  <c r="E6" i="3"/>
  <c r="D5" i="3"/>
  <c r="E5" i="3"/>
  <c r="D4" i="3"/>
  <c r="E4" i="3"/>
  <c r="E3" i="3"/>
  <c r="D3" i="3"/>
  <c r="E2" i="3"/>
  <c r="D2" i="3"/>
  <c r="E79" i="2"/>
  <c r="D79" i="2"/>
  <c r="E78" i="2"/>
  <c r="D77" i="2"/>
  <c r="D78" i="2"/>
  <c r="E77" i="2"/>
  <c r="E76" i="2"/>
  <c r="D76" i="2"/>
  <c r="D75" i="2"/>
  <c r="E75" i="2"/>
  <c r="E74" i="2"/>
  <c r="D74" i="2"/>
  <c r="E73" i="2"/>
  <c r="D73" i="2"/>
  <c r="D72" i="2"/>
  <c r="E72" i="2"/>
  <c r="D71" i="2"/>
  <c r="E71" i="2"/>
  <c r="D68" i="2"/>
  <c r="D67" i="2"/>
  <c r="E70" i="2"/>
  <c r="E66" i="2"/>
  <c r="D66" i="2"/>
  <c r="E68" i="2"/>
  <c r="E67" i="2"/>
  <c r="D70" i="2"/>
  <c r="E69" i="2"/>
  <c r="E65" i="2"/>
  <c r="D69" i="2"/>
  <c r="E61" i="2"/>
  <c r="E63" i="2"/>
  <c r="E64" i="2"/>
  <c r="D63" i="2"/>
  <c r="D64" i="2"/>
  <c r="D61" i="2"/>
  <c r="E62" i="2"/>
  <c r="D62" i="2"/>
  <c r="E58" i="2"/>
  <c r="D59" i="2"/>
  <c r="E59" i="2"/>
  <c r="E60" i="2"/>
  <c r="D60" i="2"/>
  <c r="D58" i="2"/>
  <c r="D41" i="2"/>
  <c r="D57" i="2"/>
  <c r="E57" i="2"/>
  <c r="D50" i="2"/>
  <c r="E50" i="2"/>
  <c r="E56" i="2"/>
  <c r="D56" i="2"/>
  <c r="E55" i="2"/>
  <c r="D55" i="2"/>
  <c r="E54" i="2"/>
  <c r="D54" i="2"/>
  <c r="D49" i="2"/>
  <c r="D51" i="2"/>
  <c r="E49" i="2"/>
  <c r="E51" i="2"/>
  <c r="E52" i="2"/>
  <c r="E53" i="2"/>
  <c r="D52" i="2"/>
  <c r="D53" i="2"/>
  <c r="D48" i="2"/>
  <c r="E48" i="2"/>
  <c r="D47" i="2"/>
  <c r="E47" i="2"/>
  <c r="E46" i="2"/>
  <c r="D46" i="2"/>
  <c r="E45" i="2"/>
  <c r="D45" i="2"/>
  <c r="E43" i="2"/>
  <c r="E44" i="2"/>
  <c r="D44" i="2"/>
  <c r="D43" i="2"/>
  <c r="E42" i="2"/>
  <c r="D42" i="2"/>
  <c r="E41" i="2"/>
  <c r="D40" i="2"/>
  <c r="E40" i="2"/>
  <c r="E36" i="2"/>
  <c r="D39" i="2"/>
  <c r="E39" i="2"/>
  <c r="E38" i="2"/>
  <c r="D38" i="2"/>
  <c r="D37" i="2"/>
  <c r="D36" i="2"/>
  <c r="E37" i="2"/>
  <c r="D29" i="2"/>
  <c r="E34" i="2"/>
  <c r="D34" i="2"/>
  <c r="D33" i="2"/>
  <c r="E33" i="2"/>
  <c r="E32" i="2"/>
  <c r="D32" i="2"/>
  <c r="E31" i="2"/>
  <c r="D31" i="2"/>
  <c r="E30" i="2"/>
  <c r="D30" i="2"/>
  <c r="E29" i="2"/>
  <c r="D16" i="2"/>
  <c r="E28" i="2"/>
  <c r="D28" i="2"/>
  <c r="E27" i="2"/>
  <c r="D27" i="2"/>
  <c r="D26" i="2"/>
  <c r="E26" i="2"/>
  <c r="D25" i="2"/>
  <c r="E25" i="2"/>
  <c r="E24" i="2"/>
  <c r="D24" i="2"/>
  <c r="E23" i="2"/>
  <c r="D23" i="2"/>
  <c r="E22" i="2"/>
  <c r="D22" i="2"/>
  <c r="E21" i="2"/>
  <c r="D21" i="2"/>
  <c r="E20" i="2"/>
  <c r="D20" i="2"/>
  <c r="E19" i="2"/>
  <c r="D19" i="2"/>
  <c r="D17" i="2"/>
  <c r="E17" i="2"/>
  <c r="E16" i="2"/>
  <c r="E9" i="2"/>
  <c r="E15" i="2"/>
  <c r="D15" i="2"/>
  <c r="E14" i="2"/>
  <c r="D14" i="2"/>
  <c r="E10" i="2"/>
  <c r="D10" i="2"/>
  <c r="E13" i="2"/>
  <c r="D13" i="2"/>
  <c r="E12" i="2"/>
  <c r="D12" i="2"/>
  <c r="E11" i="2"/>
  <c r="D11" i="2"/>
  <c r="D9" i="2"/>
  <c r="D8" i="2"/>
  <c r="E8" i="2"/>
  <c r="D5" i="2"/>
  <c r="D4" i="2"/>
  <c r="E4" i="2"/>
  <c r="D2" i="2"/>
  <c r="E5" i="2"/>
  <c r="D6" i="2"/>
  <c r="E2" i="2"/>
  <c r="D3" i="2"/>
  <c r="E6" i="2"/>
  <c r="E3" i="2"/>
  <c r="D7" i="2"/>
</calcChain>
</file>

<file path=xl/sharedStrings.xml><?xml version="1.0" encoding="utf-8"?>
<sst xmlns="http://schemas.openxmlformats.org/spreadsheetml/2006/main" count="418" uniqueCount="290">
  <si>
    <t>ATIVIDADES</t>
  </si>
  <si>
    <t>RESPONSÁVEL</t>
  </si>
  <si>
    <t>PREVISÃO DE TÉRMINO</t>
  </si>
  <si>
    <t>DIAS ÚTEIS</t>
  </si>
  <si>
    <t>TEMPO TOTAL</t>
  </si>
  <si>
    <t>OBSERVAÇÃO</t>
  </si>
  <si>
    <t>MUST</t>
  </si>
  <si>
    <t>HOJE</t>
  </si>
  <si>
    <t>ANÁLISE MUST</t>
  </si>
  <si>
    <t>Recomendação de 2xBCs ligados (+ máx Ugs sincronizadas) em Cerquilho para Média e Pesada, devido ao risco de subtensão na DIT CTEEP em perda dupla CER-BOT e CER-TOY</t>
  </si>
  <si>
    <t>Carol</t>
  </si>
  <si>
    <t>Avaliar faixas de reativo do CS Estreito em função das já existentes para os outros CS no Volume 9</t>
  </si>
  <si>
    <t>Reavaliação da rede complementar</t>
  </si>
  <si>
    <t>Recomendar desinstalação de SEPs para rede alterada</t>
  </si>
  <si>
    <t>TR Mogi Mirim 3, TRs Araraquara, UHE Ilha Solteira</t>
  </si>
  <si>
    <t>Reavaliar LTs recomendadas para desligamento para controle de tensão</t>
  </si>
  <si>
    <t>Verificar impactos em função de RSUL</t>
  </si>
  <si>
    <t>PREOP + Superação NCC com anel São Caetano do Sul</t>
  </si>
  <si>
    <t>Alexandre/Marcos</t>
  </si>
  <si>
    <t>Andamento das análises de desempenho</t>
  </si>
  <si>
    <t>Avaliação da perda dupla que causa sobrecarga na transformação 440/138 kV de Bom Jardim por fluxo reativo</t>
  </si>
  <si>
    <t>Lucas</t>
  </si>
  <si>
    <t>Lucas já avaliou e a Entrada em operação do seccionamento de Fernão dias resolve o problema, faltou avaliarmos com o caso e carga do 1Q2026</t>
  </si>
  <si>
    <t>Avaliar a possibilidade de usar a abertura do TR 345/230 kV de Baixada como medida de controle de curto-circuito]</t>
  </si>
  <si>
    <t>Marcos</t>
  </si>
  <si>
    <t>Avaliar a rede alterada quando todas máquinas despachadas e outras condições.</t>
  </si>
  <si>
    <t>Alexandre</t>
  </si>
  <si>
    <t>Aumento de MUST em 7 pontos, CPFL Piratininga, SP, SGA-SAM-0128/2024</t>
  </si>
  <si>
    <t>Alexandre/Rafaella</t>
  </si>
  <si>
    <t>Aumento de MUST no ponto de contratação LUK - 138 kV (A), Elektro, SP, SGA-SAM-0132/2024</t>
  </si>
  <si>
    <t>Rafaella</t>
  </si>
  <si>
    <t>Aprovado</t>
  </si>
  <si>
    <t>Aumento de MUST no ponto de contratação EMBRAPORT - 138 kV (A), CPFL Piratininga, SP, SGA-SAM-0133/2024</t>
  </si>
  <si>
    <t>Aprovado com ressalvas</t>
  </si>
  <si>
    <t>Aumento de MUST em 3 pontos, CPFL Paulista, SP, SGA-SAM-0003/2025</t>
  </si>
  <si>
    <t>pontos devem ficar limitados aos valores da RECON até a entrada do SSSC na LT 138 kV Ribeirão Preto – Porto Ferreira C1/C2, quando os valores solicitados poderão ser liberados, mas sem margem para outros aumentos que impactam nesta LT. Após o SSSC e estes valores de MUST a LT fica em 99/101% de carregamento</t>
  </si>
  <si>
    <t>MUST flexível no ponto CONPACEL - 138 kV (A), Elektro, SGA-SFX-0002/2025</t>
  </si>
  <si>
    <t>Vale ressaltar que em novembro/2024 a Elektro solicitou acesso flexível para o referido ponto de conexão e nos mesmos montantes apresentados, mas a solicitação foi negada. No momento, não existe CUST Flexível vigente para o referido ponto de contratação. Novamente negado</t>
  </si>
  <si>
    <t>Carta sobre indisponibilidade do TR1 230/88 kV SE Centro -CTR</t>
  </si>
  <si>
    <t>Carta não emitida - ofício da ANEEL recebido em 24/02/2025</t>
  </si>
  <si>
    <t>Aumento de MUST no ponto ITATIBA - 138 kV, CPFL Piratininga, SGA-SAM-0007/2025</t>
  </si>
  <si>
    <r>
      <t xml:space="preserve">Recomendar </t>
    </r>
    <r>
      <rPr>
        <b/>
        <sz val="11"/>
        <rFont val="Calibri"/>
        <family val="2"/>
        <scheme val="minor"/>
      </rPr>
      <t>no mensal e SysPL desativação</t>
    </r>
    <r>
      <rPr>
        <sz val="11"/>
        <rFont val="Calibri"/>
        <family val="2"/>
        <scheme val="minor"/>
      </rPr>
      <t xml:space="preserve"> dos SEPs de controle de carregamento da LT 138 kV Bariri - Bauru podem ser desinstalados</t>
    </r>
  </si>
  <si>
    <r>
      <t xml:space="preserve">Recomendar no mensal </t>
    </r>
    <r>
      <rPr>
        <b/>
        <sz val="11"/>
        <rFont val="Calibri"/>
        <family val="2"/>
        <scheme val="minor"/>
      </rPr>
      <t>desativação</t>
    </r>
    <r>
      <rPr>
        <sz val="11"/>
        <rFont val="Calibri"/>
        <family val="2"/>
        <scheme val="minor"/>
      </rPr>
      <t xml:space="preserve"> dos SEPs "ESQUEMA DE BLOQUEIO/DESBLOQUEIO AUTOMÁTICO DOS LTC DA TRANSFORMAÇÃO 345/88 KV DE SUL (1.09.49)" e "ESQUEMA PARA EVITAR SOBRECARGA NA LT 345 KV BAIXADA SANTISTA / TIJUCO PRETO (1.09.19)" após entrada do seccionamento da da LT 345 kV Ibiúna - Tijuco Preto</t>
    </r>
  </si>
  <si>
    <t>Aumento de MUST no ponto ZANCHETTA - 138 kV (A), CPFL Piratininga, SGA-SAM-0010/2025</t>
  </si>
  <si>
    <t>Aumento de MUST em 12 pontos de contratação, Elektro Redes, SP, SGA-SAM-0013/2025</t>
  </si>
  <si>
    <t>Aumento de MUST no ponto EDGARD DE SOUZA - 88 kV, ENEL-SP, SGA-SAM-0016/2025, SGA-SAM-0017/2025 e SGA-SAM-0018/2025</t>
  </si>
  <si>
    <t>Data center</t>
  </si>
  <si>
    <t>NT e carta sobre proposta de realocação do TR da SE Manoel da Nóbrega para a SE Centro -CTR</t>
  </si>
  <si>
    <t>Finalizado</t>
  </si>
  <si>
    <t>Aumento de MUST no ponto de conexão Da Mata - 138 kV, CPFL Paulista, SP, SGA-SAM-0023/2025</t>
  </si>
  <si>
    <t>Análise dos impactos da alteração de configuração da rede de distribuição entre Manoel da Nóbrega e Baixada Santista - E-mail Murilo 14/03/2025</t>
  </si>
  <si>
    <t>Diretrizes vigentes já contemplam as consequências.</t>
  </si>
  <si>
    <t>Alteração de MUST - ELEKTRO - Guariroba 1 138 kV - SP, SGA-SFX-0003/2025</t>
  </si>
  <si>
    <t>Aumento de MUST em 4 pontos de contratação, Elektro Redes, SP, SGA-SAM-0026/2025</t>
  </si>
  <si>
    <t>Avaliar medida operativa/SEP São João da Boa Vista II e impactos na RBF</t>
  </si>
  <si>
    <t>Medida operativa já implantada pela CTEEP, SEP previsto para outubro de 2025
Verificar se SEP será operacionalizado - impactos para o TR 440/138 kV Bom Jardim</t>
  </si>
  <si>
    <t>Análise da configuração dos barramentos da SE Bariri devido sobrecarga no disjuntor de paralelo - E-mail da Isa Energia 17/03/2025</t>
  </si>
  <si>
    <t>Encaminhado para EGE</t>
  </si>
  <si>
    <t>Revisão da NT e carta da proposta de realocação do TR da SE Manoel da Nóbrega para a SE Centro -CTR devido novos dados de carga da Enel</t>
  </si>
  <si>
    <t>OK</t>
  </si>
  <si>
    <t>Carta de atualização dos dados de remanejamento de carga da Enel e atualização da matriz de diagnóstico</t>
  </si>
  <si>
    <r>
      <rPr>
        <u/>
        <sz val="11"/>
        <rFont val="Calibri"/>
        <family val="2"/>
        <scheme val="minor"/>
      </rPr>
      <t>MUDANÇAS NECESSÁRIAS NA MATRIZ DE DIAGNÓSTICO APÓS CONFIRMAÇÃO DOS DADOS DA ENEL-SP</t>
    </r>
    <r>
      <rPr>
        <sz val="11"/>
        <rFont val="Calibri"/>
        <family val="2"/>
        <scheme val="minor"/>
      </rPr>
      <t xml:space="preserve">:
Atualização de TODAS as cargas atendidas pré-contingência
Atualização da carga não atendida pós-contingência:
N-2 - LT 345 kV Guarulhos – Norte C1 e C2;
N-2 - LT 345 kV Embu Guaçu – Sul e LT 345 kV Sul – Baixada Santista;
N-2 - LT 345 kV Leste - Ramon R. Filho C1 e C2;
N-1-1 - SE Bandeirantes 345/34,5 kV – 3 x 150 MVA;
N-1-1 - SE Centro CTR 230/88 kV – 2 x 250 MVA;
N-1-1 - SE Centro CTR 230/20 kV – 2 x 123 + 1 x 135 MVA;
N-2 - LT 230 kV Anhanguera – Centro C1 e C2;
Mudança da classificação quanto à criticidade no atendimento à carga pós-contingência:
N-2 - LT 345 kV Leste - Ramon R. Filho C1 e C2 - do C2 para C3;
N-1-1 - SE Centro CTR 230/88 kV – 2 x 250 MVA - do C3 para C2;
N-2 - LT 230 kV Anhanguera – Centro C1 e C2 - do C3 para C2;
Mudança se tem equipamento reserva:
N-1-1 - SE Centro CTR 230/88 kV – 2 x 250 MVA - Retiramos a indicação que havia transformação reserva.
</t>
    </r>
    <r>
      <rPr>
        <u/>
        <sz val="11"/>
        <rFont val="Calibri"/>
        <family val="2"/>
        <scheme val="minor"/>
      </rPr>
      <t xml:space="preserve">MUDANÇAS NECESSÁRIAS QUE NÃO ENVOLVEM OS DADOS DA ENEL-SP
</t>
    </r>
    <r>
      <rPr>
        <sz val="11"/>
        <rFont val="Calibri"/>
        <family val="2"/>
        <scheme val="minor"/>
      </rPr>
      <t xml:space="preserve">Retirar da Matriz de Diagnóstico o N-1-1 da SE Miguel Reale 345/20 kV – 3 x 135 MVA, pois a solução estrutural entrou em operação e o problema de N-1-1 deixa de existir.
</t>
    </r>
    <r>
      <rPr>
        <b/>
        <sz val="11"/>
        <color rgb="FFFF0000"/>
        <rFont val="Calibri"/>
        <family val="2"/>
        <scheme val="minor"/>
      </rPr>
      <t>Aguardar parecer sobre emitissão do revisão do mensal</t>
    </r>
  </si>
  <si>
    <t>Reanálise das sobrecargas dos TRs de Jupiá e Bom Jardim em função de não-flexiblização da capacidade pela Isa Energia</t>
  </si>
  <si>
    <t>incluídas na revisão 06 do relatório de diretrizes</t>
  </si>
  <si>
    <t>Reavaliação do SEP de bloqueio do bipolo de Xingu - Estreito quando da perda dos disjuntores de interligação de barras</t>
  </si>
  <si>
    <r>
      <t xml:space="preserve">SEP indicado no pré-operacional. Avaliação com limites atuais de RSUL/TVZ 2022 indica a desativação.
Reavaliar com novos limites/TVZ atualizado. Estender avaliação ao SEP de runback para sobrecarga quando da perda de apenas um disjuntor.
</t>
    </r>
    <r>
      <rPr>
        <b/>
        <sz val="11"/>
        <rFont val="Calibri"/>
        <family val="2"/>
        <scheme val="minor"/>
      </rPr>
      <t>Tratado pela EGE</t>
    </r>
  </si>
  <si>
    <t>Colocar no SysPL SEP de TR de Bom Jardim</t>
  </si>
  <si>
    <t>URGENTE</t>
  </si>
  <si>
    <t>Aumento de MUST no ponto de contratação SE Milton Fornasaro 88 kV, ENEL SP, SP, SGA-SAM-0032/2025</t>
  </si>
  <si>
    <t>Milon</t>
  </si>
  <si>
    <t>Aumento de MUST no ponto de conexão Da Mata - 138 kV, CPFL Paulista, SP, SGA-SAM-0031/2025</t>
  </si>
  <si>
    <t>Aumento de até 0,2 p.p. na LT 138 kV Três Irmãos - Valparaíso, entre as derivações Andradina e Mirandópolis</t>
  </si>
  <si>
    <t>Aumento de MUST no ponto de contratação SE Itaí 2 138 kV, CPFL Santa Cruz, SP, SGA-SAM-0030/2025</t>
  </si>
  <si>
    <t>Aumento de MUST no ponto de contratação Edgard de Souza - 88 kV, ENEL SP, SP, SGA-SPT-0038/2025 - DATA CENTER</t>
  </si>
  <si>
    <t>conclusões encaminhadas para o chat plc e plm</t>
  </si>
  <si>
    <t>Parecer Técnico para Distribuidora  ENEL SP - Aumento de MUST no ponto de contratação Edgard de Souza - 88 kV, SP, SGA-SPT-0038/2025 DATA CENTER</t>
  </si>
  <si>
    <t>Parecer Técnico para Distribuidora  ENEL SP - Aumento de MUST no ponto de contratação Edgard de Souza - 88 kV, SP, SGA-SPT-0040/2025 DATA CENTER</t>
  </si>
  <si>
    <t>Avaliação de controle de tensão para Norma: abertura da LT440ASS-TAQ</t>
  </si>
  <si>
    <t>Verificamos que esta LT ñ é utilizada para esta finalidade há 6 anos, conforme tableau. A restrição existente em capivara (150 MW) é para evitar oscilação na ctg da LT440ASS-CAP</t>
  </si>
  <si>
    <t>Aumento de MUST Flexível - SE Solvay 440 kV, Unipar Indupa do Brasil, SP, SGA-SFX-0004/2025</t>
  </si>
  <si>
    <t>Aumento dos valores de MUST em 3 pontos de contratação, Elektro Redes, SP, SGA-SAM-0038/2025</t>
  </si>
  <si>
    <t>Aumento dos valores de MUST no ponto Barra Bonita 138 kV, CPFL Paulista, SP, SGA-SAM-0041/2025</t>
  </si>
  <si>
    <t>Parecer de acesso para aumento dos valores de MUST no ponto de contratação UTE Cocal 88 kV, ESS, SP, SGA-SAM-0042/2025</t>
  </si>
  <si>
    <t>Análises das obras do 2Q25</t>
  </si>
  <si>
    <t>- TR1 500/138 kV Água Vermelha
- TR5 e TR6 230/88 kV Manoel da Nóbrega?</t>
  </si>
  <si>
    <t>Avaliação dos impactos da perda do bipolo de Furnas com o remanescente desligado para intervenção de modernização</t>
  </si>
  <si>
    <t>Criado PTC com os impactos da perda de um bipolo. Documento revisado para contemplar a polos conectadas à LTs de bipolos diferentes</t>
  </si>
  <si>
    <t>Parecer Técnico para Distribuidora - Aumento de MUST no ponto de contratação JANDIRA - 88 kV, ENEL SP, SP, SGA-SPT-0052/2025 - DATA CENTER</t>
  </si>
  <si>
    <t>DATA CENTER</t>
  </si>
  <si>
    <t>Aumento dos valores de MUST em 4 pontos de contratação, Elektro Redes, SP, SGA-SAM-0050/2025</t>
  </si>
  <si>
    <t>Análise feita e resultados alinhados com o Milon.</t>
  </si>
  <si>
    <t>Aumento dos valores de MUST no ponto de contratação LEME 2138kVA, Elektro Redes, SP, SGA-SAM-0051/2025</t>
  </si>
  <si>
    <r>
      <rPr>
        <b/>
        <sz val="11"/>
        <color rgb="FFFF0000"/>
        <rFont val="Calibri"/>
        <family val="2"/>
        <scheme val="minor"/>
      </rPr>
      <t xml:space="preserve">INTERROMPIDO - </t>
    </r>
    <r>
      <rPr>
        <b/>
        <sz val="11"/>
        <rFont val="Calibri"/>
        <family val="2"/>
        <scheme val="minor"/>
      </rPr>
      <t>PLM solicitará nova tabela de valores de confiabilidade atualizada para possibilitar a aprovação</t>
    </r>
  </si>
  <si>
    <r>
      <t xml:space="preserve">Análise de rede alterada da LT 138 kV Jales - Boa Hora com impacto na </t>
    </r>
    <r>
      <rPr>
        <b/>
        <sz val="11"/>
        <rFont val="Calibri"/>
        <family val="2"/>
        <scheme val="minor"/>
      </rPr>
      <t>integração do TR10 500/138 kV Água Vermelha</t>
    </r>
  </si>
  <si>
    <t>Finalizado e entregue para EGE</t>
  </si>
  <si>
    <t>Avaliação de limites de interligação com SEP NNE-SECO</t>
  </si>
  <si>
    <t>Parecer Técnico para Aumento de MUST em 2 pontos de contratação, Energisa Sul-Sudeste, SP, SGA-SAM-0075/2025</t>
  </si>
  <si>
    <t>Pres.Venceslau e Brag.Paulista</t>
  </si>
  <si>
    <t>Contratação de MUST Flex - Energisa Sul-Sudeste - SE Maracaí 88 kV, SP, SGA-SFX-0005/2025</t>
  </si>
  <si>
    <t>Parecer Técnico para Aumento de MUST no ponto de contratação JANDIRA 88 kV , ENEL SP, SP, SGA-SAM-0080/2025 - DATA CENTER</t>
  </si>
  <si>
    <t>A Distribuidora declarou que  o aumento de MUST faz-se necessário para o atendimento da nova conexão do cliente Digital Lake Data Centers Ltda., cujo Parecer Técnico - RELATÓRIO ONS DTA-2025-PT-0065-R0, foi emitido pelo ONS.</t>
  </si>
  <si>
    <t>Parecer Técnico para Aumento de MUST em dois pontos de contratação, Elektro Redes, SP, SGA-SAM-0081/2025</t>
  </si>
  <si>
    <t>CARTA: Carta da MEZ</t>
  </si>
  <si>
    <t>Alexandre / PLM</t>
  </si>
  <si>
    <t>https://onsbr.sharepoint.com/sites/infomais/Paginas/documentos/detalhe.aspx?idDocumento=126770&amp;biblioteca=cartaons</t>
  </si>
  <si>
    <t>Aumento de MUST no ponto de contratação Ourinhos 2 - 88 kV, Jaguari de Energia, SP, SGA-SAM-0092/2025</t>
  </si>
  <si>
    <t>Ourinhos 2 – 88 Kv de outubro a dezembro/2025</t>
  </si>
  <si>
    <t>Aumento dos valores de MUST no ponto de Contratação EMBRAPORT - 138 kV (A) - CPFL Piratininga, SP, SGA-SAM-0084/2025</t>
  </si>
  <si>
    <t>Aumento de MUST em 16 pontos de contratação, CPFL Paulista, SP, SGA-SAM-0090/2025</t>
  </si>
  <si>
    <t>Aumento de MUST em 2 pontos de contratação, Elektro Redes, SP, SGA-SAM-0088/2025</t>
  </si>
  <si>
    <t>Aumento de MUST em 4 pontos de contratação, CPFL Piratininga, SP, SGA-SAM-0091/2025</t>
  </si>
  <si>
    <t>Aumento de MUST no ponto de contratação UTE Quatá II - 88 kV, ESS, SP, SGA-SAM-0097/2025</t>
  </si>
  <si>
    <t>Aumento de MUST no ponto de contratação PETRO ATIBAIA - 138 kV (A), Elektro Redes, SP, SGA-SAM-0098/2025</t>
  </si>
  <si>
    <t>Aumento de MUST no ponto de contratação MAIRIPORA - 138 kV (A) - SABESP, Elektro Redes, SP, SGA-SAM-0108/2025</t>
  </si>
  <si>
    <t>Aumento de MUST em 3 pontos de contratação, Elektro Redes, SP, SGA-SAM-0123/2025</t>
  </si>
  <si>
    <t>NT de ESS - revisão de julho</t>
  </si>
  <si>
    <t>solicitação de aumento de MUST nos pontos de conexão Capivara, Irati Norte e Bateias, com o protocolo SGA-SAM-0113/2025</t>
  </si>
  <si>
    <t>CARTA: Ampliação de prazo para conclusão de Melhorias e Reforços autorizados a Centrais Elétricas Brasileiras S.A. – Eletrobras – Operação Sudeste</t>
  </si>
  <si>
    <t>Está com o Vinícius para entregar minuta até 08/08/2025</t>
  </si>
  <si>
    <t>Aumento de MUST em 18 pontos de contratação, Elektro Redes, SP, SGA-SAM-0115/2025</t>
  </si>
  <si>
    <t>Aumento de MUST em 2 pontos de contratação, Energisa Sul-Sudeste, SP, SGA-SAM-0111/2025</t>
  </si>
  <si>
    <t>Aumento de MUST no ponto de contratação Frango Rico 138 kV, Elektro Redes, SP, SGA-SAM-0150/2025</t>
  </si>
  <si>
    <t>Acesso Permanente -SE Iporã 138 kV / SE Nestlé 138 kV - Revisão, CPFL Paulista, SP, SGA-SPA-0243/2025</t>
  </si>
  <si>
    <t>Aumento de MUST em 11 pontos de contratação, Elektro Redes, SP, SGA-SAM-0120/2025 - TEMPORADA DE VERÃO - Litoral Sul e Norte</t>
  </si>
  <si>
    <t>Aguardando resposta da ISA Energia, prevista para a primeira semana de setembro</t>
  </si>
  <si>
    <t>Aumento de MUST no ponto de contratação HONDA 138 kV, Elektro Redes, SP, SGA-SAM-0148/2025</t>
  </si>
  <si>
    <t>Aumento de MUST no ponto de contratação Ramon Rebert Filho 88 kV, ENEL SP, SP, SGA-SAM-0147/2025</t>
  </si>
  <si>
    <t>Aumento de MUST no ponto de contratação PETRO ATIBAIA - 138 kV (A), Elektro Redes, SP, SGA-SAM-0155/2025</t>
  </si>
  <si>
    <t>Aumento de MUST no ponto de contratação PETROBRAS ELK - 138 kV (A), Elektro Redes, SP, SGA-SAM-0153/2025</t>
  </si>
  <si>
    <t>Análise do SEP de Dracena</t>
  </si>
  <si>
    <r>
      <t xml:space="preserve">PLM/PLC </t>
    </r>
    <r>
      <rPr>
        <sz val="11"/>
        <color rgb="FFFF0000"/>
        <rFont val="Calibri"/>
        <family val="2"/>
        <scheme val="minor"/>
      </rPr>
      <t>(Rafa)</t>
    </r>
  </si>
  <si>
    <t>Encaminhado em 07/02</t>
  </si>
  <si>
    <t>Casos de cenários SP (RSUL, RSE/FSUL, ...)</t>
  </si>
  <si>
    <t>Casos prontos em: https://onsbr.sharepoint.com/:f:/s/soumaisons/EhUtLuDgeYdOkX7daDXqv6oB0IjjeLRiKYl9Q5QCeNSZIg?e=wM1MSy</t>
  </si>
  <si>
    <t>Carta CTEEP - Desligamento no 345 kV devido obras viárias</t>
  </si>
  <si>
    <t>Encaminhado para Janaína 09/02
Emitida 16/02</t>
  </si>
  <si>
    <t>Aumento de MUST (SGA-SAM-0004/2024)</t>
  </si>
  <si>
    <t>PLM/PLC</t>
  </si>
  <si>
    <t>ILHA SOLTEIRA - 138 kV, ITAPEVA 138 kVA, JALES - 138 kV e TRES LAGOAS 1 - 138 kV, no período de maio a dezembro de 2024</t>
  </si>
  <si>
    <t>Aumento de MUST (SGA-SAM-0006/2024)</t>
  </si>
  <si>
    <t>CENTRO - 88 kV e ANHANGUERA - 88 kV, a partir de maio de 2024</t>
  </si>
  <si>
    <t>SEP de Rosana</t>
  </si>
  <si>
    <t>PLC</t>
  </si>
  <si>
    <t>Avaliação para alteração da lógica após aumento de capacidade da LT Rosana - Alcídia 
Comunicado à EGP a inclusão/adequação no mensal - IMPLEMENTADO</t>
  </si>
  <si>
    <t>Parecer de Acesso Permanente -Revisão - SE UTE BIOPAV 138 kV, SP, SGA-RPA-0012/2024</t>
  </si>
  <si>
    <t>poderá ser atendida condicionada a conclusão da obra de reconstrução/recondutoramento da LT 138 kV São José do Rio Preto – Catanduva, trecho de 49,3 km de extensão, CD, para capacidade mínima de 206/242 MVA, em condição normal/emergência de operação e obras associadas, autorizadas à ISA CTEEP através da ReA ANEEL nº 12.639/2022, com prazo contratual para 15 de março de 2025 e previstas atualmente pela Transmissora para 13/03/2026</t>
  </si>
  <si>
    <t>Aumento de MUST TAUBATE - 138 kV (A )- Neoenergia Elektro - SGA-SAM-0012/2024</t>
  </si>
  <si>
    <t>Atual p39/fp40MW</t>
  </si>
  <si>
    <t>Relatórios 2Q2024 - 440 kV, 345 kV e 500 kV (novo documento)</t>
  </si>
  <si>
    <r>
      <t>incluir análise do C3 ARA-ARA2. 
Ver NCC em Araraquara</t>
    </r>
    <r>
      <rPr>
        <sz val="11"/>
        <color rgb="FFFF0000"/>
        <rFont val="Calibri"/>
        <family val="2"/>
        <scheme val="minor"/>
      </rPr>
      <t xml:space="preserve"> OK</t>
    </r>
    <r>
      <rPr>
        <sz val="11"/>
        <rFont val="Calibri"/>
        <family val="2"/>
        <scheme val="minor"/>
      </rPr>
      <t xml:space="preserve">
CPFL ficou de atualizar limite da LT 138 kV São José do Rio Preto (ISA CTEEP) – Mirassol2 na derivação Primavera C1=143/143 e C2=151/151 </t>
    </r>
    <r>
      <rPr>
        <sz val="11"/>
        <color rgb="FFFF0000"/>
        <rFont val="Calibri"/>
        <family val="2"/>
        <scheme val="minor"/>
      </rPr>
      <t>OK</t>
    </r>
    <r>
      <rPr>
        <sz val="11"/>
        <rFont val="Calibri"/>
        <family val="2"/>
        <scheme val="minor"/>
      </rPr>
      <t xml:space="preserve">
CTEEP precisa atualizar limites das LTs 138 kV Euclides da Cunha - Mococa, Jales - Votuporanga II e São José do Rio Preto - Catanduva (restrição de vão baixo)</t>
    </r>
    <r>
      <rPr>
        <sz val="11"/>
        <color rgb="FFFF0000"/>
        <rFont val="Calibri"/>
        <family val="2"/>
        <scheme val="minor"/>
      </rPr>
      <t xml:space="preserve"> OK</t>
    </r>
  </si>
  <si>
    <t>UTE Univalem - Aumento de Exportação, CPFL Paulista, SP, SGA-SPT-0042/2024</t>
  </si>
  <si>
    <t>Não percebemos problemas nos casos de cenário do Quadrimestral.</t>
  </si>
  <si>
    <t>Aumento de MUST SUMARE - 138 kV (A) - Atendimento Microsoft CPQ11 - CPFL Paulista, SP, SGA-SAM-0010/2024</t>
  </si>
  <si>
    <t>Aprovado condicionado: fica condicionado a um fator de potência mínimo de 0,95</t>
  </si>
  <si>
    <t>MUST Flexível - UTE UNIVALEM - 138 kV (A), CPFL Paulista, SP, SGA-SFX-0005/2024</t>
  </si>
  <si>
    <t>1ª Reunião Técnico Gerencial</t>
  </si>
  <si>
    <t>Datas da CTEEP recebidas dia 08/04/2024 e atualizadas no Novo SGIntegração dia 09/04/2024</t>
  </si>
  <si>
    <t>Modalidade de usina Barra Grande 80 MW em Barra bonita</t>
  </si>
  <si>
    <t>Avaliação já realizada e entregue</t>
  </si>
  <si>
    <t>Aumento de MUST no ponto de contratação Barra Bonita - 138 kV (A) - CPFL Paulista, SP, SGA-SAM-0026/2024</t>
  </si>
  <si>
    <r>
      <t xml:space="preserve">passando dos atuais 46,0 MW para 51,0 MW , nos horários de ponta e fora de ponta, de 01 de julho de 2024 a 31 de dezembro de 2025
</t>
    </r>
    <r>
      <rPr>
        <sz val="11"/>
        <color rgb="FFFF0000"/>
        <rFont val="Calibri"/>
        <family val="2"/>
        <scheme val="minor"/>
      </rPr>
      <t>Documento já elaborado pela PLM</t>
    </r>
  </si>
  <si>
    <t>Parecer de Acesso Permanente - CL SE SCALA III, SP, SGA-SPA-0028/2024</t>
  </si>
  <si>
    <t>Avaliação do reator de Lorena</t>
  </si>
  <si>
    <t>Subtensão na perda dupla do 500 kV saindo de Lorena</t>
  </si>
  <si>
    <t>Aumento de MUST em 3 pontos de contratação - Energisa Sul-Sudeste (ESS), SP, SGA-SAM-0031/2024</t>
  </si>
  <si>
    <t>Análise da suspensão da UTE Piratininga</t>
  </si>
  <si>
    <t>Revisão da inequação p/ PD Piratininga - Interlagos no TR 345/230 kV BSA
Configuração de UGs p/ superação em Henry Borden cobrado à EGP, já entregue e inserido no quadrimestral</t>
  </si>
  <si>
    <t>Indisponibilidade de um dos trafos de Sul</t>
  </si>
  <si>
    <t>Decidido incluir somente menção ao SGI (rev1 do relatório)
para avaliações antes da PRI deveremos fazer um parecer técnico</t>
  </si>
  <si>
    <t>Atualização Planilha Atendimento à Capitais e Radiais Singelos</t>
  </si>
  <si>
    <t>PLC/PLM</t>
  </si>
  <si>
    <t>Entregue versão final, esperando gestores</t>
  </si>
  <si>
    <t>Aumento de MUST em 13 pontos de contratação - Elektro Redes, SP, SGA-SAM-0034/2024</t>
  </si>
  <si>
    <t>Avaliação já realizada, falta apenas resposta da CTEEP para o ponto "International"</t>
  </si>
  <si>
    <t>Aumento de MUST em 8 pontos de contratação - CPFL Paulista, SP, SGA-SAM-0028/2024</t>
  </si>
  <si>
    <t>Avaliação das perdas duplas que não eram analisadas:
LTs 230 kV São José dos Campos – Itapeti e São José dos Campos – Mogi das Cruzes
LTs 500 kV Marimbondo II – Araraquara C2 e Marimbondo – Marimbondo II C2
LTs 500 kV Água Vermelha – Marimbondo e Marimbondo – Marimbondo II C3</t>
  </si>
  <si>
    <t>Perda dupla das LTs 230 kV São José dos Campos – Itapeti e São José dos Campos – Mogi das Cruzes:
Não foram observados problemas de carregamento ou tensão utilizando os casos de estudo do 2Q2024
Perda dupla das LTs 500 kV Marimbondo II – Araraquara C2 e Marimbondo – Marimbondo II C2:
Carregamento:
LT 500 kV Marimbondo II - Araraquara C1 pode apresentar carregamento em torno do nominal para o caso de carga Máxima Noturna com RSUL = 12.000 MW;
Tensão:
Não foram observados problemas de tensão.
Perda dupla das LTs 500 kV Água Vermelha – Marimbondo e Marimbondo – Marimbondo II C3:
Não foram observados problemas de carregamento ou tensão utilizando os casos de estudo do 2Q2024</t>
  </si>
  <si>
    <t>Avaliação controle de tensão na região de H.Borden</t>
  </si>
  <si>
    <r>
      <t xml:space="preserve">Avaliar retirada das informações da IO. 
CPFL e CTEEP foram questionados sobre as faixas normatizadas para H.Borden 88 e 230 kV.
Determinar n° mínimo de Ugs que mantém o controle de tensão adequado
</t>
    </r>
    <r>
      <rPr>
        <sz val="11"/>
        <color rgb="FFFF0000"/>
        <rFont val="Calibri"/>
        <family val="2"/>
        <scheme val="minor"/>
      </rPr>
      <t>Resultados já estão na minuta do Volume 11 revisão 03</t>
    </r>
  </si>
  <si>
    <t>BOJ-CAV</t>
  </si>
  <si>
    <t>contato com a CTEEP para verificar implementação de abertura automatizada via SAGE
E-mail encaminhado 02/05/2024 com informações da sobrecarga. CTEEP informa impossibilidade de flexibilização e não irá implementar automatismo via SAGE, pois há previsão de implementação do SEP</t>
  </si>
  <si>
    <t>SEP para controle de carregamento em Ibiúna</t>
  </si>
  <si>
    <t>-</t>
  </si>
  <si>
    <t>Avaliação resultou na impossibilidade de implementação do SEP, pois há violação do 1ºSWG(0,70pu)</t>
  </si>
  <si>
    <t>Avaliação de desempenho dinâmico da área SP com o "novo" critério de 1ºSWG (0,70pu)</t>
  </si>
  <si>
    <t>Foram avaliadas todas contingências de SP e não foram verificadas violações de 1º ou 2º swing</t>
  </si>
  <si>
    <t>Avaliar questionamentos da Operação:
"a dupla de Araraquara/Poços e Araraquara/Campinas não provoca sobrecarga na LT 440 kV Araraquara / Araraquara 2 C1 e C2 por causa do desligamento da Araraquara / Marimbondo II"</t>
  </si>
  <si>
    <t>Deverá ser adequado o volume de 500 kV do SECO. Quando da perda dupla citada, sai também a LT 500 kV Araraquara - Marimbondo II C2 por causa do arranjo em anel. A saída desta LT junto com a dupla reduz o carregamento no 440 kV</t>
  </si>
  <si>
    <t>Avaliar as perdas duplas de SP com atenção ao arranjo das Subestações, para ter certeza que não sai nenhum outro equipamento junto</t>
  </si>
  <si>
    <t>Foi necessário alterar os decks de contingências, mas sem consequências necessárias para alterar nos relatórios
Contingência Dupla das LTs 230 kV Taubaté – Aparecida C1 e Aparecida – GV do Brasil (LTs em mesma estrutura) LT 230 kV LORENA - APARECIDA C1 FICA EM VAZIO
Contingência Dupla da LT 230 kV Aparecida – Lorena (LT em mesma estrutura) LT 230 kV APARECIDA - TAUBATÉ FICA EM VAZIO
Contingência Dupla da LT 500 kV Araraquara – Marimbondo 2 (LT em mesma estrutura) LT 500 kV ARARAQUARA - POÇOS FICA EM VAZIO
Contingência Dupla das LTs 500 kV Araraquara – Campinas e Araraquara – Poços de Caldas (LTs em mesma estrutura) LT 500 kV ARARAQUARA - MARIMBONDO II C2 FICA EM VAZIO</t>
  </si>
  <si>
    <t>Aumento de MUST no ponto de contratação Candido Mota - 88 kV (A) - Energisa Sul-Sudeste, SP, SGA-SAM-0043/2024</t>
  </si>
  <si>
    <t>Sem problemas para aumento de MUST. Aguardando revisão do documento pela PLM</t>
  </si>
  <si>
    <t>Aumento de MUST no ponto de contratação ITATIBA - 138 kV - CPFL Paulista, SP, SGA-SAM-0053/2024</t>
  </si>
  <si>
    <t>Aumento de MUST em 4 pontos de contratação - Elektro Redes, SP, SGA-SAM-0046/2024
GUARIROBA 1 - 138 kV (A); AJINOMOTO BIO - 138 kV (A); PETR S ISABEL - 88 kV (A); PETROBRAS ELK - 138 kV (A)</t>
  </si>
  <si>
    <t>Reavaliar controle de tensão para condição de abertura da EST-FDI e EST-CPA</t>
  </si>
  <si>
    <t>Parametrização ok</t>
  </si>
  <si>
    <t>Avaliação de carregamento C3 LT 440 kV Araraquara - Araraquara 2 com os casos do 3Q24</t>
  </si>
  <si>
    <t>Casos avaliados e nivelados com EGE e EGP, seria necessário runback de 1.500 MW para eliminar sobrecarga inadmissível de 12%
caso de máxima noturna com geração interna de SP em 2.500 MW e IPU60 5000
Na hora de planejar o SEP a proprietária do C3 flexibilizou a capacidade do circuito</t>
  </si>
  <si>
    <t>Aumento de MUST em oito pontos de contratação - Energisa Sul-Sudeste, SP, SGA-SAM-0063/2024</t>
  </si>
  <si>
    <t>Assis I, Bastos, Capivara, Eneida, Itajobi, Palmital, Rancharia e Tupã</t>
  </si>
  <si>
    <t>Aumento de MUST em 2 pontos de contratação - Elektro Redes, SP, SGA-SAM-0062/2024</t>
  </si>
  <si>
    <r>
      <t>D.QUIMICA ELK - 138 kV (A) e HONDA ELK - 138 kV (A)), nos horários de ponta e fora de ponta, a partir de 01 de setembro de 2024
HONDA ELK - 138 kV (A)</t>
    </r>
    <r>
      <rPr>
        <sz val="11"/>
        <color rgb="FF00B050"/>
        <rFont val="Calibri"/>
        <family val="2"/>
        <scheme val="minor"/>
      </rPr>
      <t xml:space="preserve"> OK
</t>
    </r>
    <r>
      <rPr>
        <sz val="11"/>
        <rFont val="Calibri"/>
        <family val="2"/>
        <scheme val="minor"/>
      </rPr>
      <t>D.QUIMICA ELK - 138 kV (A)</t>
    </r>
    <r>
      <rPr>
        <sz val="11"/>
        <color rgb="FF00B050"/>
        <rFont val="Calibri"/>
        <family val="2"/>
        <scheme val="minor"/>
      </rPr>
      <t xml:space="preserve"> OK desconsiderando parcela de confiabilidade da distribuidora</t>
    </r>
  </si>
  <si>
    <t>Aumento dos valores de MUST no ponto de Contratação VOTUPORANGA 1 - 138 kV (A) - Elektro Redes, SP, SGA-SAM-0075/2024</t>
  </si>
  <si>
    <t>negado por falta das obras: recap. BOH-JAL-VOT e TR440/138AGV</t>
  </si>
  <si>
    <t>Aumento dos valores de MUST no ponto de Contratação EMBRAPORT - 138 kV (A) - CPFL Piratininga, SP, SGA-SAM-0067/2024</t>
  </si>
  <si>
    <t>sem restrições: LT 138 kV Baixada - V. Carvalho (159/191) em 70%
Mas problemas em regime na LT 138 kV Santo Ângelo - Bertioga II</t>
  </si>
  <si>
    <t>Acesso Permanente - SE João Pereira de Souza 138 kV, CERIPA, SP, SGA-SPA-0120/2024</t>
  </si>
  <si>
    <r>
      <t xml:space="preserve">A Cooperativa de Eletrificação Rural de Itaí Paranapanema Avaré LTDA - CERIPA, na qualidade de Agente de Distribuição – Permissionária, formalizou ao ONS solicitação de acesso para conexão de </t>
    </r>
    <r>
      <rPr>
        <b/>
        <sz val="11"/>
        <rFont val="Calibri"/>
        <family val="2"/>
        <scheme val="minor"/>
      </rPr>
      <t>nova subestação JOÃO PEREIRA DE SOUZA 138/69 kV,  em derivação dupla na LT 138kV Jurumirim - Capão Bonito</t>
    </r>
    <r>
      <rPr>
        <sz val="11"/>
        <rFont val="Calibri"/>
        <family val="2"/>
        <scheme val="minor"/>
      </rPr>
      <t>, rede classificada como DIT, de propriedade da ISA CTEEP, com previsão de entrada em operação em 30/11/2024.</t>
    </r>
  </si>
  <si>
    <t>Análises das obras do 3Q24</t>
  </si>
  <si>
    <t>- TR6 440/138 kV Água Vermelha
- Seccionamento LT 345 kV Ibiuna - Tijuco Preto C2 na SE Sul
- TR3 440/138 kV Mirassol</t>
  </si>
  <si>
    <t>Aumento dos valores de MUST no ponto de Contratação B. SANTISTA - 88 kV) - CPFL Piratininga, SP, SGA-SAM-0079/2024</t>
  </si>
  <si>
    <t>Aumento dos valores de MUST em três pontos de Contratação - CPFL Paulista, SP, SGA-SAM-0078/2024</t>
  </si>
  <si>
    <r>
      <t xml:space="preserve">M. MORAES - 138 kV (A) e BAGUACU138kVA </t>
    </r>
    <r>
      <rPr>
        <sz val="11"/>
        <color rgb="FF00B050"/>
        <rFont val="Calibri"/>
        <family val="2"/>
        <scheme val="minor"/>
      </rPr>
      <t xml:space="preserve">OK
</t>
    </r>
    <r>
      <rPr>
        <sz val="11"/>
        <rFont val="Calibri"/>
        <family val="2"/>
        <scheme val="minor"/>
      </rPr>
      <t>BADY BASSITT138kVA</t>
    </r>
    <r>
      <rPr>
        <sz val="11"/>
        <color rgb="FF00B050"/>
        <rFont val="Calibri"/>
        <family val="2"/>
        <scheme val="minor"/>
      </rPr>
      <t xml:space="preserve"> OK desconsiderando parcela de confiabilidade da distribuidora e fp 0,95</t>
    </r>
  </si>
  <si>
    <t>Aumento de MUST no ponto de contratação BRA. PAULISTA - 138 kV (A) - Energisa Sul-Sudeste, SP, SGA-SAM-0091/2024</t>
  </si>
  <si>
    <t>barramento de 138 kV da SE Bragança Paulista, para 185,0 MW e 200,0 MW, no período de novembro/2024 a dezembro/2024.
Aprovado sem restrições - casos de MUST</t>
  </si>
  <si>
    <t>Aumento de MUST no ponto de contratação CASA BRANCA 5 - 138 kV (A) - Cia. Jaguari de Energia (CPFL Santa Cruz), SP, SGA-SAM-0096/2024</t>
  </si>
  <si>
    <r>
      <t xml:space="preserve">Casa branca 5, 12,6 para 15,6 e 11,3 para 14,3 ----&gt; aumenta 0,3 MW na LT 138 kV R. Preto - Porto Ferreira (lt em sobrecarga) para geração baixa no tiete/paranap. </t>
    </r>
    <r>
      <rPr>
        <b/>
        <sz val="11"/>
        <color rgb="FFFF0000"/>
        <rFont val="Calibri"/>
        <family val="2"/>
        <scheme val="minor"/>
      </rPr>
      <t>Entregue para contribuições da PLM</t>
    </r>
  </si>
  <si>
    <t>Avaliação de impacto da usina Barra Grande e Barra Grande/Lençóis na DIT (SE Barra Bonita) para estudos pré-operacionais (EGE-Arjan)</t>
  </si>
  <si>
    <t>Após avaliação não foi encontrado nenhum problema</t>
  </si>
  <si>
    <t>Contribuição na apresentação do GT-SP</t>
  </si>
  <si>
    <t>Obras em operação; pontos de atenção no curto prazo</t>
  </si>
  <si>
    <t>Avaliar e documentar as indisponibilidades de longa duração da área SP
Para 2º Quadrimestral</t>
  </si>
  <si>
    <r>
      <rPr>
        <sz val="11"/>
        <color rgb="FF000000"/>
        <rFont val="Calibri"/>
        <family val="2"/>
        <scheme val="minor"/>
      </rPr>
      <t xml:space="preserve">Casos de setembro
</t>
    </r>
    <r>
      <rPr>
        <b/>
        <sz val="11"/>
        <rFont val="Calibri"/>
        <family val="2"/>
        <scheme val="minor"/>
      </rPr>
      <t xml:space="preserve">LT 345 kV Baixada Santista / Sul (de 14/08 até 03/10/2024) </t>
    </r>
    <r>
      <rPr>
        <b/>
        <sz val="11"/>
        <color rgb="FF000000"/>
        <rFont val="Calibri"/>
        <family val="2"/>
        <scheme val="minor"/>
      </rPr>
      <t xml:space="preserve">=&gt; </t>
    </r>
    <r>
      <rPr>
        <b/>
        <sz val="11"/>
        <color rgb="FFFF0000"/>
        <rFont val="Calibri"/>
        <family val="2"/>
        <scheme val="minor"/>
      </rPr>
      <t>observamos sobrecarga em regime permanente na LT 345 kV Embu-Guaçu - Sul e tensões violadas na SE Sul. Esta sobrecarga está diretamente relacionada a carga e fluxo de potência reativa.</t>
    </r>
    <r>
      <rPr>
        <b/>
        <sz val="11"/>
        <color rgb="FF70AD47"/>
        <rFont val="Calibri"/>
        <family val="2"/>
        <scheme val="minor"/>
      </rPr>
      <t xml:space="preserve"> - MEDIDAS SEMELHANTES A SGI 41.653-24 (RETORNO DA LT VIA DJ PARALELO)</t>
    </r>
    <r>
      <rPr>
        <b/>
        <sz val="11"/>
        <color rgb="FF000000"/>
        <rFont val="Calibri"/>
        <family val="2"/>
        <scheme val="minor"/>
      </rPr>
      <t xml:space="preserve">
SE Sul TR-3 345-88 kV (de 01/08 até 30/11/2024) </t>
    </r>
    <r>
      <rPr>
        <b/>
        <sz val="11"/>
        <color theme="9"/>
        <rFont val="Calibri"/>
        <family val="2"/>
        <scheme val="minor"/>
      </rPr>
      <t>- JÁ MAPEADO CONFORME DOCUMENTO DA PRI</t>
    </r>
    <r>
      <rPr>
        <b/>
        <sz val="11"/>
        <color rgb="FF000000"/>
        <rFont val="Calibri"/>
        <family val="2"/>
        <scheme val="minor"/>
      </rPr>
      <t xml:space="preserve">
SE Aparecida TR-3 230-88 kV (de 10/08 até 09/12/2024) </t>
    </r>
    <r>
      <rPr>
        <b/>
        <sz val="11"/>
        <color theme="9"/>
        <rFont val="Calibri"/>
        <family val="2"/>
        <scheme val="minor"/>
      </rPr>
      <t>- JÁ MAPEADO CONFORME DOCUMENTO DA PRI</t>
    </r>
    <r>
      <rPr>
        <b/>
        <sz val="11"/>
        <color rgb="FF000000"/>
        <rFont val="Calibri"/>
        <family val="2"/>
        <scheme val="minor"/>
      </rPr>
      <t xml:space="preserve">
SE Santa Bárbara d'Oeste TR-3 440-138 kV (de 22/09 até 27/10/2024) </t>
    </r>
    <r>
      <rPr>
        <b/>
        <sz val="11"/>
        <color theme="9"/>
        <rFont val="Calibri"/>
        <family val="2"/>
        <scheme val="minor"/>
      </rPr>
      <t>- SEM IMPACTOS SIGNIFICATIVOS PARA O SIN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
SE Embu-Guaçu TR-3 e TR-5 440-345 kV (de 28/09 até 14/12/2024, cada transformador desligado por 1/2 do período total)</t>
    </r>
    <r>
      <rPr>
        <b/>
        <sz val="11"/>
        <color rgb="FFFF0000"/>
        <rFont val="Calibri"/>
        <family val="2"/>
        <scheme val="minor"/>
      </rPr>
      <t xml:space="preserve"> observamos risco de sobrecarga inadmissível na LT 345 kV Embu-Guaçu - Sul quando da contingência dupla das LTs 345 kV Baixada Santista - Sul e Baixada Santista - Embu-Guaçu. Esta sobrecarga está diretamente relacionada a carga da SE Sul e fluxo de potência reativa.</t>
    </r>
    <r>
      <rPr>
        <b/>
        <sz val="11"/>
        <color rgb="FF70AD47"/>
        <rFont val="Calibri"/>
        <family val="2"/>
        <scheme val="minor"/>
      </rPr>
      <t xml:space="preserve">  - ACE DE TRANSFERÊNCIA DE CARGA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
LT 230 kV Botucatu / Capão Bonito (de 18/09 até 18/10/2024):</t>
    </r>
    <r>
      <rPr>
        <b/>
        <sz val="11"/>
        <color rgb="FFFF0000"/>
        <rFont val="Calibri"/>
        <family val="2"/>
        <scheme val="minor"/>
      </rPr>
      <t xml:space="preserve"> observamos risco de subtensão no 138 kV de Itararé quando da perda da transformação 230/138 kV de Itararé 2. É possível mitigar o problema citado com utilização de recursos da rede DIT, no entanto, essas medidas operativas são fora da rede de operação do ONS e, portanto, sem nossa ação direta.</t>
    </r>
    <r>
      <rPr>
        <b/>
        <sz val="11"/>
        <color rgb="FF70AD47"/>
        <rFont val="Calibri"/>
        <family val="2"/>
        <scheme val="minor"/>
      </rPr>
      <t xml:space="preserve"> - CONFIGURAÇÃO DE BCs LIGADOS</t>
    </r>
    <r>
      <rPr>
        <b/>
        <sz val="11"/>
        <color rgb="FFFF0000"/>
        <rFont val="Calibri"/>
        <family val="2"/>
        <scheme val="minor"/>
      </rPr>
      <t xml:space="preserve">
SE Piratininga TR-5, TR-7 e TR-8 230-88 kV (de 18/08 até 19/10/2024, cada transformador desligado por 1/3 do período total) </t>
    </r>
    <r>
      <rPr>
        <b/>
        <sz val="11"/>
        <color rgb="FF000000"/>
        <rFont val="Calibri"/>
        <family val="2"/>
        <scheme val="minor"/>
      </rPr>
      <t xml:space="preserve">=&gt; fazer sensibilidade com a carga de pedreira
</t>
    </r>
    <r>
      <rPr>
        <sz val="11"/>
        <color rgb="FF000000"/>
        <rFont val="Calibri"/>
        <family val="2"/>
        <scheme val="minor"/>
      </rPr>
      <t xml:space="preserve">
SE Embu-Guaçu Reatores RE-2 e RE-3 440 kV (RE-2 de 05/08 até 05/09/2024 e RE-3 de 17/08 até 21/09/2024, ou seja, há sobreposição)
LT 230 kV Henry Borden / Piratininga (de 20/10 até 08/11/2024) =&gt; Menos de 30 dias não analisamos
LT 345 kV Embu-Guaçu / Baixada Santista (de 06/10 até 21/10/2024) =&gt; Menos de 30 dias não analisamos</t>
    </r>
  </si>
  <si>
    <t>Avaliar e documentar as indisponibilidades de longa duração da área SP
Para 3º Quadrimestral</t>
  </si>
  <si>
    <t>Casos de dezembro
11.	SE Santa Bárbara d'Oeste TR-1 440-138 kV (de 25/11 até 25/01/2025)
12.	SE Baixada Santista TR-7 230-138 kV (de 21/11 até 10/01/2025)
13.	LT 230 kV Chavantes / Piraju (de 30/10 até 20/12/2024)
14.	LT 345 kV Leste / Tijuco Preto (de 05/11 até 18/12/2024)</t>
  </si>
  <si>
    <t>Avaliação dinâmica com os casos do 3Q24</t>
  </si>
  <si>
    <t>alexandre</t>
  </si>
  <si>
    <t>Parecer de Acesso Permanente - CL DCT Synergy Campus Jundiaí I - SPE, SE DCT Synergy Campus Jundiaí 440/34,5 kV (GIS), SP, SGA-SPA-0175/2024</t>
  </si>
  <si>
    <t>Aumento de MUST em 16 pontos de contratação - Elektro Redes, SP, SGA-SAM-0101/2024</t>
  </si>
  <si>
    <t>Temporada de Verão</t>
  </si>
  <si>
    <t>Oficio DT 033.24 - Simulação e Estudos - BTFs - Subestação Fernão Dias</t>
  </si>
  <si>
    <t>Transformação já utilizando fase reserva, quais impactos para o sistema com possíveis outros sinistros</t>
  </si>
  <si>
    <t>Revisão extraordinária relatórios - Aumento de capacidade da TAU-SJC</t>
  </si>
  <si>
    <r>
      <t xml:space="preserve">Necessidade de atualizar o relatório após as trocas dos equipamentos que limitam a capacidade da TAU-SJC
Avaliar se o automatismo ainda é necessários, mesmo com nova capacidade </t>
    </r>
    <r>
      <rPr>
        <sz val="11"/>
        <color rgb="FF00B050"/>
        <rFont val="Calibri"/>
        <family val="2"/>
        <scheme val="minor"/>
      </rPr>
      <t>R: Sim, há risco de sobrecarga de 99,9% do limite de emergência na PD F. Dias - B. Jardim + B. Jardim - Sumaré</t>
    </r>
  </si>
  <si>
    <t>Análises das obras do 1Q25</t>
  </si>
  <si>
    <t>- SE Domênico Rangoni
- Reavaliar faixas de tensão de Água Vermelha 138 kV e Mirassol 138 kV devido às aberturas de Votuporanga II - São José do Rio Preto para controle de carregamento da LT 138 kV Boa Hora - Jales. Contingência crítica: TR 440/138 kV Água Vermelha</t>
  </si>
  <si>
    <t>Avaliação fluxo Rosana do 230 para 138 kV (defasador)</t>
  </si>
  <si>
    <t>Avaliação para atendimento ao MUST na região.
Avaliação da CTG de um dos trafos e sobrecarga inadmissível no remanescente.
Faixa proposta, sem considerar o uso do defasador como solução do problema de da Guaíra - Dourados: 
60 MW - 190 MW
Fatores limitantes: sobrecarga em regime na LT 138 kV Rosana - Mirante  / sobrecarga no TRD de Rosana na contingência do paralelo (N-1)</t>
  </si>
  <si>
    <t>MUST Flexível - SE Carbocloro 230 kV, Unipar Carbocloro, SP, SGA-SFX-0013/2024</t>
  </si>
  <si>
    <t>Alexandre/PLM</t>
  </si>
  <si>
    <t>solicitação de contratação de demanda flexível no setor de 230 kV da SE Carbocloro (CCL), subestação de propriedade da ISA CTEEP e integrante da Rede Básica. O montante requerido  é de 13,0 MW, nos horários de ponta e fora de ponta</t>
  </si>
  <si>
    <t>Parecer Técnico para Distribuidora - SE UTE Açucareira Quatá 88 kV, Energisa Sul-Sudeste, SP, SGA-SPT-0139/2024</t>
  </si>
  <si>
    <t>solicitação de parecer técnico vislumbrando o aumento de injeção no SIN pela UTE Quatá 88 kV, passando dos atuais 25,0 MW para 31,5 MW</t>
  </si>
  <si>
    <t>Contratação de MUST Flex (Renovação) - Neoenergia Elektro - SE INTERNATIONAL 138 kV, SGA-SFX-0016/2024</t>
  </si>
  <si>
    <t>solicitação de contratação de demanda flexível, para o período de janeiro/2025 a dezembro/2025, no montante de 17 MW nos horários de ponta e fora de ponta</t>
  </si>
  <si>
    <t>Contratação de MUST Flex - Energisa Sul-Sudeste - SE Alto Alegre 138 kV, SP, SGA-SFX-0021/2024</t>
  </si>
  <si>
    <t>contratação de demanda flexível no ponto ALTO ALEGRE - 138 kV (SPUFA-138), no montante de 1,0 MW, nos horários de ponta e fora de ponta, para o período de março/2025 a dezembro/2025</t>
  </si>
  <si>
    <t>Contratação de MUST Flex (Renovação) - Neoenergia Elektro - SE V.CEL. PAPEL 138 kV, SP, SGA-SFX-0020/2024</t>
  </si>
  <si>
    <t>solicitação de contratação de demanda flexível, para o período de maio/2025 a outubro/2025, nos montantes de 106 MW e 48 MW, nos horários de ponta e fora de ponta</t>
  </si>
  <si>
    <r>
      <t xml:space="preserve">Recomendar no mensal </t>
    </r>
    <r>
      <rPr>
        <b/>
        <sz val="11"/>
        <rFont val="Calibri"/>
        <family val="2"/>
        <scheme val="minor"/>
      </rPr>
      <t>desligamento</t>
    </r>
    <r>
      <rPr>
        <sz val="11"/>
        <rFont val="Calibri"/>
        <family val="2"/>
        <scheme val="minor"/>
      </rPr>
      <t xml:space="preserve"> da lógica de PD de Runback do Madeira após a entrada da LT 440 kV Araraquara - Araraquara 2 C3</t>
    </r>
  </si>
  <si>
    <t>Desligamento via chave não precisa ser recomendado no SYSPL
Recomendação emitida no mensal DEZ/2024</t>
  </si>
  <si>
    <r>
      <t xml:space="preserve">Recomendar no mensal </t>
    </r>
    <r>
      <rPr>
        <b/>
        <sz val="11"/>
        <rFont val="Calibri"/>
        <family val="2"/>
        <scheme val="minor"/>
      </rPr>
      <t>desinstalação</t>
    </r>
    <r>
      <rPr>
        <sz val="11"/>
        <rFont val="Calibri"/>
        <family val="2"/>
        <scheme val="minor"/>
      </rPr>
      <t xml:space="preserve"> do SEP de Gerdau e </t>
    </r>
    <r>
      <rPr>
        <b/>
        <sz val="11"/>
        <rFont val="Calibri"/>
        <family val="2"/>
        <scheme val="minor"/>
      </rPr>
      <t>reajuste</t>
    </r>
    <r>
      <rPr>
        <sz val="11"/>
        <rFont val="Calibri"/>
        <family val="2"/>
        <scheme val="minor"/>
      </rPr>
      <t xml:space="preserve"> do SEP da LT 230 kV Taubaté - São José dos Campos após liberação dos novos limites</t>
    </r>
  </si>
  <si>
    <r>
      <rPr>
        <b/>
        <sz val="11"/>
        <rFont val="Calibri"/>
        <family val="2"/>
        <scheme val="minor"/>
      </rPr>
      <t>Solicitado o desligamento da chave on/off do SEP no dia 13/11/24 por e-mail para a PDP</t>
    </r>
    <r>
      <rPr>
        <b/>
        <sz val="11"/>
        <color rgb="FFFF0000"/>
        <rFont val="Calibri"/>
        <family val="2"/>
        <scheme val="minor"/>
      </rPr>
      <t xml:space="preserve">
ACRESCENTAR RECOMENDAÇÃO DE REAJUSTE NO SYSPL</t>
    </r>
  </si>
  <si>
    <t>Contratação de MUST Flex (Renovação) - Neoenergia Elektro - SE CARGILL 138 kV, SGA-SFX-0017/2024</t>
  </si>
  <si>
    <t>solicitação de contratação de demanda flexível, para o período de janeiro/2025 a dezembro/2025, no montante de 3,5 MW e 3,0 MW, nos horários de ponta e fora de ponta</t>
  </si>
  <si>
    <t>Contratação de MUST Flex (Renovação) - Neoenergia Elektro - SE CONPACEL 138 kV, SP, SGA-SFX-0018/2024</t>
  </si>
  <si>
    <t>solicitação de contratação de demanda flexível, para o período de janeiro/2025 a dezembro/2025, no montante de 15 MW nos horários de ponta e fora de ponta
Sobrecarga no N-1: LT 440 kV Araraquara - Mogi Mirim 3</t>
  </si>
  <si>
    <t>Contratação de MUST Flex (Renovação) - Neoenergia Elektro - SE GUARIROBA 138 kV, SP, SGA-SFX-0019/2024</t>
  </si>
  <si>
    <t>solicitação de contratação de demanda flexível, para o período de janeiro/2025 a dezembro/2025, no montante de 15 MW nos horários de ponta e fora de ponta</t>
  </si>
  <si>
    <t>Aumento de MUST no ponto de contratação Mogi Mirim II - 138 kV, CPFL Paulista, SP, SGA-SAM-0110/2024</t>
  </si>
  <si>
    <t>Carol/PLM</t>
  </si>
  <si>
    <t>aumento de MUST no barramento de 138 kV da SE Mogi Mirim II, prevista a partir do mês de fevereiro/2025, no montante de mais 2,0 MW, nos horários de ponta e fora de ponta</t>
  </si>
  <si>
    <t>Aumento de MUST no ponto de contratação Aparecida - 88 kV, EDP São Paulo, SP, SGA-SAM-0109/2024</t>
  </si>
  <si>
    <t>aumentos de MUST no ponto de conexão APARECIDA - 88 kV, nos horários de ponta e fora de ponta, a partir de fevereiro de 2025</t>
  </si>
  <si>
    <t>Reserva de Capacidade (Renovação) - UTE Cubatão - SE Cubatão 230 kV - Petrobras, SP, SGA-SRC-0031/2024</t>
  </si>
  <si>
    <t>UTE Cubatão, formalizou ao ONS solicitação de contratação de reserva de capacidade, no montante de 56 MW nos horários de ponta e fora de ponta</t>
  </si>
  <si>
    <t>RECON da capital e área Atibaia-Mogi</t>
  </si>
  <si>
    <t>Aumento de MUST no ponto de contratação SE Bracell - 440 kV, UTE Bracell, SP, SGA-RPA-0074/2024</t>
  </si>
  <si>
    <t>Parecer Técnico para Distribuidora - SE UTE PAULINIA VERDE, CPFL PAULISTA, SP, SGA-SPT-0147/2024</t>
  </si>
  <si>
    <t>Não identificamos dificuldades no atendimento com o aumento de 5 MW de injeção. Já passamas a informação para a PLM, fica faltando o documento</t>
  </si>
  <si>
    <t>Aumento da injeção pela UTE São José da Estiva, Energisa Sul-Sudeste, SP, SGA-SPT-0162/2024</t>
  </si>
  <si>
    <t>Revisão da faixa de tensão da SE Araraquara 2 500 kV</t>
  </si>
  <si>
    <t>Solicitação da sala de controle encaminhada via e-mail pela Karla dia 13/03/2024
Verificar carga global com MMGD vs. Sem MMGD quando tem condicionantes relacionadas a intercâmbio
Tivemos uma conversa conjunta PDP, interligação S/SE e SP. O problema foi resolvido.</t>
  </si>
  <si>
    <t>Aumento de MUST no ponto de contratação PETRO ATIBAIA - 138 kV (A), Elektro, SP, SGA-SAM-0116/2024</t>
  </si>
  <si>
    <t>Sobrecarga 230 kV para Pdupla quando bombeamento Pedreira ligado</t>
  </si>
  <si>
    <r>
      <t>E-mail encaminhado para CTEEP solicitando flexibilização.</t>
    </r>
    <r>
      <rPr>
        <sz val="11"/>
        <color rgb="FFFF0000"/>
        <rFont val="Calibri"/>
        <family val="2"/>
        <scheme val="minor"/>
      </rPr>
      <t xml:space="preserve"> OK </t>
    </r>
    <r>
      <rPr>
        <sz val="11"/>
        <rFont val="Calibri"/>
        <family val="2"/>
        <scheme val="minor"/>
      </rPr>
      <t xml:space="preserve">(Flex. Recebida por e-mail 29/02/2024). 
Inequação já implementada.
</t>
    </r>
    <r>
      <rPr>
        <sz val="11"/>
        <color rgb="FFFF0000"/>
        <rFont val="Calibri"/>
        <family val="2"/>
        <scheme val="minor"/>
      </rPr>
      <t>Conversar com EGP sobre SEP e recomendar no mensal de Abril</t>
    </r>
  </si>
  <si>
    <t>Perda dupla Chavantes - Botucatu C4 + Jurumirim - Avaré Nova</t>
  </si>
  <si>
    <r>
      <t xml:space="preserve">Encaminhar e-mail solicitando flexibilização
Inequação normatizada
</t>
    </r>
    <r>
      <rPr>
        <strike/>
        <sz val="11"/>
        <color rgb="FFFF0000"/>
        <rFont val="Calibri"/>
        <family val="2"/>
        <scheme val="minor"/>
      </rPr>
      <t>Verificar recomendação de SEP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Como é mesma faixa de passagem vamos aguardar cair o critério para "acabar o problema"</t>
    </r>
  </si>
  <si>
    <t>TR 440/138 kV Jupiá - risco de sobrecarga na perda JUP-MAR dupla</t>
  </si>
  <si>
    <r>
      <t xml:space="preserve">130% da capacidade nominal do TR-15, 440–138 kV, da SE Jupiá por até dez minutos POR EMAIL 04/04/24
</t>
    </r>
    <r>
      <rPr>
        <strike/>
        <sz val="11"/>
        <color rgb="FFFF0000"/>
        <rFont val="Calibri"/>
        <family val="2"/>
        <scheme val="minor"/>
      </rPr>
      <t>Avaliar recomendação de SEP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Como é mesma faixa de passagem vamos aguardar cair o critério para "acabar o problema"</t>
    </r>
  </si>
  <si>
    <t>Conversar com o PAR para ver se eles já investigaram este problema</t>
  </si>
  <si>
    <t>Retirar o requisito de máx UG sincronizada no relatório - OK</t>
  </si>
  <si>
    <t>CS Estreito não tem influência sobre problema de colapso de tensão na malha de 500 kV do SE.</t>
  </si>
  <si>
    <t>Reavaliar após cálculo dos novos limites de RSUL utilizando tabelas de tempo de falha de comutação de 2024 (cenário Norte Exportador)</t>
  </si>
  <si>
    <t>Verificar: enviar solicitações de saída de equipamentos da rede complementar aos poucos ou no fim de todas as análises?</t>
  </si>
  <si>
    <t>LTs entre Baguaçu e Três Irmãos</t>
  </si>
  <si>
    <t>5/31/2025</t>
  </si>
  <si>
    <t>9/30/2025</t>
  </si>
  <si>
    <t>9/16/2025</t>
  </si>
  <si>
    <t>10/20/2025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</si>
</sst>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70AD47"/>
      <name val="Calibri"/>
      <family val="2"/>
      <scheme val="minor"/>
    </font>
    <font>
      <strike/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1" applyFill="1" applyBorder="1" applyAlignment="1">
      <alignment horizontal="left" vertical="center" wrapText="1"/>
    </xf>
    <xf numFmtId="0" fontId="5" fillId="0" borderId="1" xfId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infomais/Paginas/documentos/detalhe.aspx?idDocumento=126770&amp;biblioteca=cartaon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:p:/s/soumaisons/Eb7HQvHK_BpIjd6vwm8CFm4BWJqI3AKFNdIrJ8KMwUIHDw?e=50loDj" TargetMode="External"/><Relationship Id="rId1" Type="http://schemas.openxmlformats.org/officeDocument/2006/relationships/hyperlink" Target="../../../infomais/_layouts/15/WopiFrame.aspx?sourcedoc=%2Fsites%2Finfomais%2Fcartaons%2Fcartaons20240122112639%2FCARTA-ONS%20DGL%200121-2024%20-%20Solicita%C3%A7%C3%A3o%20da%20S%C3%A3o%20Paulo%20Obras%2C%20empresa%20p%C3%BAblica%20vinculada%20%C3%A0%20SIURB%20da%20cidade%20de%20S%C3%A3o%20Paulo%2C%20para%20obra%20de%20liga%C3%A7%C3%A3o%20vi%C3%A1ria%20do%20sistema%20Gra%C3%BAna%20-%20Gaivotas%2C%20localizado%20no%20extremo%20Sul%20da%20Capital.docx&amp;action=active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3B14-F325-4C0B-B8E6-76913381C63C}">
  <sheetPr codeName="Planilha1"/>
  <dimension ref="A1:K17"/>
  <sheetViews>
    <sheetView zoomScale="85" zoomScaleNormal="85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67.42578125" style="2" bestFit="1" customWidth="1"/>
    <col min="2" max="2" width="18.7109375" style="1" customWidth="1"/>
    <col min="3" max="3" width="12.28515625" style="1" customWidth="1"/>
    <col min="4" max="5" width="8.7109375" style="1" bestFit="1" customWidth="1"/>
    <col min="6" max="6" width="125.5703125" style="1" customWidth="1"/>
    <col min="7" max="7" width="11.28515625" style="1" customWidth="1"/>
    <col min="8" max="8" width="11.140625" bestFit="1" customWidth="1"/>
    <col min="9" max="9" width="10.85546875" bestFit="1" customWidth="1"/>
  </cols>
  <sheetData>
    <row r="1" spans="1:11" s="1" customFormat="1" ht="30" x14ac:dyDescent="0.2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10" t="s">
        <v>6</v>
      </c>
      <c r="H1" s="12" t="s">
        <v>7</v>
      </c>
      <c r="I1" s="5">
        <f ca="1">TODAY()</f>
        <v>45937</v>
      </c>
      <c r="J1" s="10" t="s">
        <v>8</v>
      </c>
      <c r="K1" s="38">
        <f>SUM(G:G)</f>
        <v>9</v>
      </c>
    </row>
    <row r="2" spans="1:11" s="7" customFormat="1" x14ac:dyDescent="0.25">
      <c r="A2" s="46" t="s">
        <v>9</v>
      </c>
      <c r="B2" s="48" t="s">
        <v>10</v>
      </c>
      <c r="C2" s="48"/>
      <c r="D2" s="48"/>
      <c r="E2" s="48"/>
      <c r="F2" s="44" t="s">
        <v>280</v>
      </c>
      <c r="G2" s="37"/>
    </row>
    <row r="3" spans="1:11" s="7" customFormat="1" ht="53.25" customHeight="1" x14ac:dyDescent="0.25">
      <c r="A3" s="47"/>
      <c r="B3" s="49"/>
      <c r="C3" s="49"/>
      <c r="D3" s="49"/>
      <c r="E3" s="49"/>
      <c r="F3" s="45" t="s">
        <v>281</v>
      </c>
      <c r="G3" s="37"/>
    </row>
    <row r="4" spans="1:11" s="7" customFormat="1" ht="15" customHeight="1" x14ac:dyDescent="0.25">
      <c r="A4" s="46" t="s">
        <v>11</v>
      </c>
      <c r="B4" s="48" t="s">
        <v>10</v>
      </c>
      <c r="C4" s="48"/>
      <c r="D4" s="48"/>
      <c r="E4" s="48"/>
      <c r="F4" s="43" t="s">
        <v>282</v>
      </c>
      <c r="G4" s="37"/>
    </row>
    <row r="5" spans="1:11" s="7" customFormat="1" x14ac:dyDescent="0.25">
      <c r="A5" s="47"/>
      <c r="B5" s="49"/>
      <c r="C5" s="49"/>
      <c r="D5" s="49"/>
      <c r="E5" s="49"/>
      <c r="F5" s="45" t="s">
        <v>283</v>
      </c>
      <c r="G5" s="37"/>
    </row>
    <row r="6" spans="1:11" ht="31.5" customHeight="1" x14ac:dyDescent="0.25">
      <c r="A6" s="46" t="s">
        <v>12</v>
      </c>
      <c r="B6" s="50"/>
      <c r="C6" s="48"/>
      <c r="D6" s="48">
        <v>-32812</v>
      </c>
      <c r="E6" s="48">
        <v>-45937</v>
      </c>
      <c r="F6" s="43" t="s">
        <v>284</v>
      </c>
    </row>
    <row r="7" spans="1:11" x14ac:dyDescent="0.25">
      <c r="A7" s="47"/>
      <c r="B7" s="51"/>
      <c r="C7" s="49"/>
      <c r="D7" s="49"/>
      <c r="E7" s="49"/>
      <c r="F7" s="45" t="s">
        <v>285</v>
      </c>
    </row>
    <row r="8" spans="1:11" x14ac:dyDescent="0.25">
      <c r="A8" s="8" t="s">
        <v>13</v>
      </c>
      <c r="B8" s="9"/>
      <c r="C8" s="6"/>
      <c r="D8" s="6">
        <v>-32812</v>
      </c>
      <c r="E8" s="6">
        <v>-45937</v>
      </c>
      <c r="F8" s="8" t="s">
        <v>14</v>
      </c>
    </row>
    <row r="9" spans="1:11" x14ac:dyDescent="0.25">
      <c r="A9" s="8" t="s">
        <v>15</v>
      </c>
      <c r="B9" s="9" t="s">
        <v>10</v>
      </c>
      <c r="C9" s="6" t="s">
        <v>286</v>
      </c>
      <c r="D9" s="6">
        <v>-92</v>
      </c>
      <c r="E9" s="6">
        <v>-129</v>
      </c>
      <c r="F9" s="8" t="s">
        <v>16</v>
      </c>
    </row>
    <row r="10" spans="1:11" x14ac:dyDescent="0.25">
      <c r="A10" s="8" t="s">
        <v>17</v>
      </c>
      <c r="B10" s="9" t="s">
        <v>18</v>
      </c>
      <c r="C10" s="6" t="s">
        <v>287</v>
      </c>
      <c r="D10" s="6">
        <v>-6</v>
      </c>
      <c r="E10" s="6">
        <v>-7</v>
      </c>
      <c r="F10" s="8" t="s">
        <v>19</v>
      </c>
      <c r="G10" s="1">
        <v>2</v>
      </c>
    </row>
    <row r="11" spans="1:11" ht="30" x14ac:dyDescent="0.25">
      <c r="A11" s="8" t="s">
        <v>20</v>
      </c>
      <c r="B11" s="9" t="s">
        <v>21</v>
      </c>
      <c r="C11" s="6" t="s">
        <v>288</v>
      </c>
      <c r="D11" s="6">
        <v>-16</v>
      </c>
      <c r="E11" s="6">
        <v>-21</v>
      </c>
      <c r="F11" s="8" t="s">
        <v>22</v>
      </c>
      <c r="G11" s="1">
        <v>2</v>
      </c>
    </row>
    <row r="12" spans="1:11" ht="30" x14ac:dyDescent="0.25">
      <c r="A12" s="8" t="s">
        <v>23</v>
      </c>
      <c r="B12" s="9" t="s">
        <v>24</v>
      </c>
      <c r="C12" s="6" t="s">
        <v>289</v>
      </c>
      <c r="D12" s="6">
        <v>10</v>
      </c>
      <c r="E12" s="6">
        <v>13</v>
      </c>
      <c r="F12" s="8" t="s">
        <v>25</v>
      </c>
      <c r="G12" s="1">
        <v>5</v>
      </c>
    </row>
    <row r="13" spans="1:11" x14ac:dyDescent="0.25">
      <c r="A13" s="8"/>
      <c r="B13" s="9"/>
      <c r="C13" s="5">
        <v>45885</v>
      </c>
      <c r="D13" s="6">
        <f ca="1">NETWORKDAYS.INTL(PENDÊNCIAS!$I$1,C13,1)</f>
        <v>-37</v>
      </c>
      <c r="E13" s="6">
        <f ca="1">C13-PENDÊNCIAS!$I$1</f>
        <v>-52</v>
      </c>
      <c r="F13" s="8"/>
    </row>
    <row r="14" spans="1:11" x14ac:dyDescent="0.25">
      <c r="A14" s="8"/>
      <c r="B14" s="9"/>
      <c r="C14" s="5">
        <v>45886</v>
      </c>
      <c r="D14" s="6">
        <f ca="1">NETWORKDAYS.INTL(PENDÊNCIAS!$I$1,C14,1)</f>
        <v>-37</v>
      </c>
      <c r="E14" s="6">
        <f ca="1">C14-PENDÊNCIAS!$I$1</f>
        <v>-51</v>
      </c>
      <c r="F14" s="8"/>
    </row>
    <row r="15" spans="1:11" x14ac:dyDescent="0.25">
      <c r="A15" s="8"/>
      <c r="B15" s="9"/>
      <c r="C15" s="5">
        <v>45887</v>
      </c>
      <c r="D15" s="6">
        <f ca="1">NETWORKDAYS.INTL(PENDÊNCIAS!$I$1,C15,1)</f>
        <v>-37</v>
      </c>
      <c r="E15" s="6">
        <f ca="1">C15-PENDÊNCIAS!$I$1</f>
        <v>-50</v>
      </c>
      <c r="F15" s="8"/>
    </row>
    <row r="16" spans="1:11" x14ac:dyDescent="0.25">
      <c r="A16" s="8"/>
      <c r="B16" s="9"/>
      <c r="C16" s="5">
        <v>45888</v>
      </c>
      <c r="D16" s="6">
        <f ca="1">NETWORKDAYS.INTL(PENDÊNCIAS!$I$1,C16,1)</f>
        <v>-36</v>
      </c>
      <c r="E16" s="6">
        <f ca="1">C16-PENDÊNCIAS!$I$1</f>
        <v>-49</v>
      </c>
      <c r="F16" s="8"/>
    </row>
    <row r="17" spans="1:6" x14ac:dyDescent="0.25">
      <c r="A17" s="8"/>
      <c r="B17" s="9"/>
      <c r="C17" s="5">
        <v>45889</v>
      </c>
      <c r="D17" s="6">
        <f ca="1">NETWORKDAYS.INTL(PENDÊNCIAS!$I$1,C17,1)</f>
        <v>-35</v>
      </c>
      <c r="E17" s="6">
        <f ca="1">C17-PENDÊNCIAS!$I$1</f>
        <v>-48</v>
      </c>
      <c r="F17" s="8"/>
    </row>
  </sheetData>
  <mergeCells count="15">
    <mergeCell ref="A6:A7"/>
    <mergeCell ref="B6:B7"/>
    <mergeCell ref="C6:C7"/>
    <mergeCell ref="D6:D7"/>
    <mergeCell ref="E6:E7"/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FCB9-38B1-4212-B349-64F154259EFD}">
  <sheetPr codeName="Planilha2"/>
  <dimension ref="A1:K69"/>
  <sheetViews>
    <sheetView tabSelected="1" topLeftCell="A60" zoomScaleNormal="100" workbookViewId="0">
      <selection activeCell="F66" sqref="F66"/>
    </sheetView>
  </sheetViews>
  <sheetFormatPr defaultColWidth="9.140625" defaultRowHeight="15" x14ac:dyDescent="0.25"/>
  <cols>
    <col min="1" max="1" width="67.28515625" style="2" customWidth="1"/>
    <col min="2" max="2" width="14.5703125" style="1" bestFit="1" customWidth="1"/>
    <col min="3" max="3" width="11.140625" style="1" bestFit="1" customWidth="1"/>
    <col min="4" max="5" width="9.140625" style="1"/>
    <col min="6" max="6" width="74.5703125" style="1" customWidth="1"/>
    <col min="7" max="7" width="9.140625" style="1"/>
    <col min="8" max="8" width="10.7109375" style="1" bestFit="1" customWidth="1"/>
    <col min="9" max="9" width="11.140625" style="1" bestFit="1" customWidth="1"/>
    <col min="10" max="16384" width="9.140625" style="1"/>
  </cols>
  <sheetData>
    <row r="1" spans="1:11" ht="4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5">
        <f ca="1">TODAY()</f>
        <v>45937</v>
      </c>
      <c r="J1" s="39" t="s">
        <v>8</v>
      </c>
      <c r="K1" s="40">
        <f>SUM(G:G)</f>
        <v>126</v>
      </c>
    </row>
    <row r="2" spans="1:11" customFormat="1" ht="30" x14ac:dyDescent="0.25">
      <c r="A2" s="8" t="s">
        <v>27</v>
      </c>
      <c r="B2" s="9" t="s">
        <v>28</v>
      </c>
      <c r="C2" s="5">
        <v>45672</v>
      </c>
      <c r="D2" s="6">
        <f ca="1">NETWORKDAYS.INTL(PENDÊNCIAS!$I$1,C2,1)</f>
        <v>-190</v>
      </c>
      <c r="E2" s="6">
        <f ca="1">C2-PENDÊNCIAS!$I$1</f>
        <v>-265</v>
      </c>
      <c r="F2" s="29"/>
      <c r="G2" s="1">
        <v>7</v>
      </c>
      <c r="H2" s="1"/>
    </row>
    <row r="3" spans="1:11" ht="30" x14ac:dyDescent="0.25">
      <c r="A3" s="8" t="s">
        <v>29</v>
      </c>
      <c r="B3" s="6" t="s">
        <v>30</v>
      </c>
      <c r="C3" s="5">
        <v>45684</v>
      </c>
      <c r="D3" s="6">
        <f ca="1">NETWORKDAYS.INTL(PENDÊNCIAS!$I$1,C3,1)</f>
        <v>-182</v>
      </c>
      <c r="E3" s="6">
        <f ca="1">C3-PENDÊNCIAS!$I$1</f>
        <v>-253</v>
      </c>
      <c r="F3" s="8" t="s">
        <v>31</v>
      </c>
      <c r="G3" s="1">
        <v>1</v>
      </c>
    </row>
    <row r="4" spans="1:11" ht="30" x14ac:dyDescent="0.25">
      <c r="A4" s="8" t="s">
        <v>32</v>
      </c>
      <c r="B4" s="6" t="s">
        <v>30</v>
      </c>
      <c r="C4" s="5">
        <v>45684</v>
      </c>
      <c r="D4" s="6">
        <f ca="1">NETWORKDAYS.INTL(PENDÊNCIAS!$I$1,C4,1)</f>
        <v>-182</v>
      </c>
      <c r="E4" s="6">
        <f ca="1">C4-PENDÊNCIAS!$I$1</f>
        <v>-253</v>
      </c>
      <c r="F4" s="8" t="s">
        <v>33</v>
      </c>
      <c r="G4" s="1">
        <v>1</v>
      </c>
    </row>
    <row r="5" spans="1:11" customFormat="1" ht="70.5" customHeight="1" x14ac:dyDescent="0.25">
      <c r="A5" s="8" t="s">
        <v>34</v>
      </c>
      <c r="B5" s="9" t="s">
        <v>26</v>
      </c>
      <c r="C5" s="5">
        <v>45700</v>
      </c>
      <c r="D5" s="6">
        <f ca="1">NETWORKDAYS.INTL(PENDÊNCIAS!$I$1,C5,1)</f>
        <v>-170</v>
      </c>
      <c r="E5" s="6">
        <f ca="1">C5-PENDÊNCIAS!$I$1</f>
        <v>-237</v>
      </c>
      <c r="F5" s="8" t="s">
        <v>35</v>
      </c>
      <c r="G5" s="1">
        <v>3</v>
      </c>
    </row>
    <row r="6" spans="1:11" customFormat="1" ht="60" x14ac:dyDescent="0.25">
      <c r="A6" s="8" t="s">
        <v>36</v>
      </c>
      <c r="B6" s="9" t="s">
        <v>26</v>
      </c>
      <c r="C6" s="5">
        <v>45707</v>
      </c>
      <c r="D6" s="6">
        <f ca="1">NETWORKDAYS.INTL(PENDÊNCIAS!$I$1,C6,1)</f>
        <v>-165</v>
      </c>
      <c r="E6" s="6">
        <f ca="1">C6-PENDÊNCIAS!$I$1</f>
        <v>-230</v>
      </c>
      <c r="F6" s="8" t="s">
        <v>37</v>
      </c>
      <c r="G6" s="1">
        <v>1</v>
      </c>
    </row>
    <row r="7" spans="1:11" x14ac:dyDescent="0.25">
      <c r="A7" s="8" t="s">
        <v>38</v>
      </c>
      <c r="B7" s="6" t="s">
        <v>10</v>
      </c>
      <c r="C7" s="5">
        <v>45709</v>
      </c>
      <c r="D7" s="6">
        <f ca="1">NETWORKDAYS.INTL(PENDÊNCIAS!$I$1,C7,1)</f>
        <v>-163</v>
      </c>
      <c r="E7" s="6">
        <f ca="1">C7-PENDÊNCIAS!$I$1</f>
        <v>-228</v>
      </c>
      <c r="F7" s="8" t="s">
        <v>39</v>
      </c>
    </row>
    <row r="8" spans="1:11" ht="30" x14ac:dyDescent="0.25">
      <c r="A8" s="8" t="s">
        <v>40</v>
      </c>
      <c r="B8" s="9" t="s">
        <v>26</v>
      </c>
      <c r="C8" s="5">
        <v>45712</v>
      </c>
      <c r="D8" s="6">
        <f ca="1">NETWORKDAYS.INTL(PENDÊNCIAS!$I$1,C8,1)</f>
        <v>-162</v>
      </c>
      <c r="E8" s="6">
        <f ca="1">C8-PENDÊNCIAS!$I$1</f>
        <v>-225</v>
      </c>
      <c r="F8" s="29"/>
      <c r="G8" s="1">
        <v>1</v>
      </c>
    </row>
    <row r="9" spans="1:11" ht="30.75" customHeight="1" x14ac:dyDescent="0.25">
      <c r="A9" s="8" t="s">
        <v>41</v>
      </c>
      <c r="B9" s="9" t="s">
        <v>30</v>
      </c>
      <c r="C9" s="5">
        <v>45713</v>
      </c>
      <c r="D9" s="6">
        <f ca="1">NETWORKDAYS.INTL(PENDÊNCIAS!$I$1,C9,1)</f>
        <v>-161</v>
      </c>
      <c r="E9" s="6">
        <f ca="1">C9-PENDÊNCIAS!$I$1</f>
        <v>-224</v>
      </c>
      <c r="F9" s="8"/>
    </row>
    <row r="10" spans="1:11" ht="75" x14ac:dyDescent="0.25">
      <c r="A10" s="8" t="s">
        <v>42</v>
      </c>
      <c r="B10" s="9" t="s">
        <v>30</v>
      </c>
      <c r="C10" s="5">
        <v>45713</v>
      </c>
      <c r="D10" s="6">
        <f ca="1">NETWORKDAYS.INTL(PENDÊNCIAS!$I$1,C10,1)</f>
        <v>-161</v>
      </c>
      <c r="E10" s="6">
        <f ca="1">C10-PENDÊNCIAS!$I$1</f>
        <v>-224</v>
      </c>
      <c r="F10" s="8"/>
    </row>
    <row r="11" spans="1:11" ht="30" x14ac:dyDescent="0.25">
      <c r="A11" s="8" t="s">
        <v>43</v>
      </c>
      <c r="B11" s="9" t="s">
        <v>26</v>
      </c>
      <c r="C11" s="5">
        <v>45713</v>
      </c>
      <c r="D11" s="6">
        <f ca="1">NETWORKDAYS.INTL(PENDÊNCIAS!$I$1,C11,1)</f>
        <v>-161</v>
      </c>
      <c r="E11" s="6">
        <f ca="1">C11-PENDÊNCIAS!$I$1</f>
        <v>-224</v>
      </c>
      <c r="F11" s="29"/>
      <c r="G11" s="1">
        <v>1</v>
      </c>
    </row>
    <row r="12" spans="1:11" ht="30" x14ac:dyDescent="0.25">
      <c r="A12" s="8" t="s">
        <v>44</v>
      </c>
      <c r="B12" s="9" t="s">
        <v>26</v>
      </c>
      <c r="C12" s="5">
        <v>45714</v>
      </c>
      <c r="D12" s="6">
        <f ca="1">NETWORKDAYS.INTL(PENDÊNCIAS!$I$1,C12,1)</f>
        <v>-160</v>
      </c>
      <c r="E12" s="6">
        <f ca="1">C12-PENDÊNCIAS!$I$1</f>
        <v>-223</v>
      </c>
      <c r="F12" s="29"/>
      <c r="G12" s="1">
        <v>12</v>
      </c>
    </row>
    <row r="13" spans="1:11" ht="30" x14ac:dyDescent="0.25">
      <c r="A13" s="8" t="s">
        <v>45</v>
      </c>
      <c r="B13" s="6" t="s">
        <v>26</v>
      </c>
      <c r="C13" s="5">
        <v>45721</v>
      </c>
      <c r="D13" s="6">
        <f ca="1">NETWORKDAYS.INTL(PENDÊNCIAS!$I$1,C13,1)</f>
        <v>-155</v>
      </c>
      <c r="E13" s="6">
        <f ca="1">C13-PENDÊNCIAS!$I$1</f>
        <v>-216</v>
      </c>
      <c r="F13" s="8" t="s">
        <v>46</v>
      </c>
      <c r="G13" s="1">
        <v>1</v>
      </c>
    </row>
    <row r="14" spans="1:11" ht="30" x14ac:dyDescent="0.25">
      <c r="A14" s="8" t="s">
        <v>47</v>
      </c>
      <c r="B14" s="6" t="s">
        <v>10</v>
      </c>
      <c r="C14" s="5">
        <v>45728</v>
      </c>
      <c r="D14" s="6">
        <f ca="1">NETWORKDAYS.INTL(PENDÊNCIAS!$I$1,C14,1)</f>
        <v>-150</v>
      </c>
      <c r="E14" s="6">
        <f ca="1">C14-PENDÊNCIAS!$I$1</f>
        <v>-209</v>
      </c>
      <c r="F14" s="8" t="s">
        <v>48</v>
      </c>
    </row>
    <row r="15" spans="1:11" ht="30" x14ac:dyDescent="0.25">
      <c r="A15" s="8" t="s">
        <v>49</v>
      </c>
      <c r="B15" s="6" t="s">
        <v>10</v>
      </c>
      <c r="C15" s="5">
        <v>45734</v>
      </c>
      <c r="D15" s="6">
        <f ca="1">NETWORKDAYS.INTL(PENDÊNCIAS!$I$1,C15,1)</f>
        <v>-146</v>
      </c>
      <c r="E15" s="6">
        <f ca="1">C15-PENDÊNCIAS!$I$1</f>
        <v>-203</v>
      </c>
      <c r="F15" s="8"/>
      <c r="G15" s="1">
        <v>1</v>
      </c>
    </row>
    <row r="16" spans="1:11" ht="45" x14ac:dyDescent="0.25">
      <c r="A16" s="8" t="s">
        <v>50</v>
      </c>
      <c r="B16" s="6" t="s">
        <v>30</v>
      </c>
      <c r="C16" s="5">
        <v>45737</v>
      </c>
      <c r="D16" s="6">
        <f ca="1">NETWORKDAYS.INTL(PENDÊNCIAS!$I$1,C16,1)</f>
        <v>-143</v>
      </c>
      <c r="E16" s="6">
        <f ca="1">C16-PENDÊNCIAS!$I$1</f>
        <v>-200</v>
      </c>
      <c r="F16" s="8" t="s">
        <v>51</v>
      </c>
    </row>
    <row r="17" spans="1:7" ht="30" x14ac:dyDescent="0.25">
      <c r="A17" s="8" t="s">
        <v>52</v>
      </c>
      <c r="B17" s="6" t="s">
        <v>26</v>
      </c>
      <c r="C17" s="5">
        <v>45747</v>
      </c>
      <c r="D17" s="6">
        <f ca="1">NETWORKDAYS.INTL(PENDÊNCIAS!$I$1,C17,1)</f>
        <v>-137</v>
      </c>
      <c r="E17" s="6">
        <f ca="1">C17-PENDÊNCIAS!$I$1</f>
        <v>-190</v>
      </c>
      <c r="F17" s="8"/>
      <c r="G17" s="1">
        <v>1</v>
      </c>
    </row>
    <row r="18" spans="1:7" ht="30" x14ac:dyDescent="0.25">
      <c r="A18" s="8" t="s">
        <v>53</v>
      </c>
      <c r="B18" s="6" t="s">
        <v>26</v>
      </c>
      <c r="C18" s="5">
        <v>45748</v>
      </c>
      <c r="D18" s="6">
        <f ca="1">NETWORKDAYS.INTL(PENDÊNCIAS!$I$1,C18,1)</f>
        <v>-136</v>
      </c>
      <c r="E18" s="6">
        <f ca="1">C18-PENDÊNCIAS!$I$1</f>
        <v>-189</v>
      </c>
      <c r="F18" s="8"/>
      <c r="G18" s="1">
        <v>4</v>
      </c>
    </row>
    <row r="19" spans="1:7" ht="45" x14ac:dyDescent="0.25">
      <c r="A19" s="8" t="s">
        <v>54</v>
      </c>
      <c r="B19" s="9" t="s">
        <v>10</v>
      </c>
      <c r="C19" s="5">
        <v>45698</v>
      </c>
      <c r="D19" s="6">
        <f ca="1">NETWORKDAYS.INTL(PENDÊNCIAS!$I$1,C19,1)</f>
        <v>-172</v>
      </c>
      <c r="E19" s="6">
        <f ca="1">C19-PENDÊNCIAS!$I$1</f>
        <v>-239</v>
      </c>
      <c r="F19" s="8" t="s">
        <v>55</v>
      </c>
    </row>
    <row r="20" spans="1:7" ht="30" x14ac:dyDescent="0.25">
      <c r="A20" s="8" t="s">
        <v>56</v>
      </c>
      <c r="B20" s="6" t="s">
        <v>10</v>
      </c>
      <c r="C20" s="5">
        <v>45733</v>
      </c>
      <c r="D20" s="6">
        <f ca="1">NETWORKDAYS.INTL(PENDÊNCIAS!$I$1,C20,1)</f>
        <v>-147</v>
      </c>
      <c r="E20" s="6">
        <f ca="1">C20-PENDÊNCIAS!$I$1</f>
        <v>-204</v>
      </c>
      <c r="F20" s="8" t="s">
        <v>57</v>
      </c>
    </row>
    <row r="21" spans="1:7" ht="30" x14ac:dyDescent="0.25">
      <c r="A21" s="8" t="s">
        <v>58</v>
      </c>
      <c r="B21" s="6" t="s">
        <v>10</v>
      </c>
      <c r="C21" s="5">
        <v>45758</v>
      </c>
      <c r="D21" s="6">
        <f ca="1">NETWORKDAYS.INTL(PENDÊNCIAS!$I$1,C21,1)</f>
        <v>-128</v>
      </c>
      <c r="E21" s="6">
        <f ca="1">C21-PENDÊNCIAS!$I$1</f>
        <v>-179</v>
      </c>
      <c r="F21" s="8" t="s">
        <v>59</v>
      </c>
    </row>
    <row r="22" spans="1:7" ht="360" x14ac:dyDescent="0.25">
      <c r="A22" s="8" t="s">
        <v>60</v>
      </c>
      <c r="B22" s="6" t="s">
        <v>26</v>
      </c>
      <c r="C22" s="5">
        <v>45755</v>
      </c>
      <c r="D22" s="6">
        <f ca="1">NETWORKDAYS.INTL(PENDÊNCIAS!$I$1,C22,1)</f>
        <v>-131</v>
      </c>
      <c r="E22" s="6">
        <f ca="1">C22-PENDÊNCIAS!$I$1</f>
        <v>-182</v>
      </c>
      <c r="F22" s="8" t="s">
        <v>61</v>
      </c>
    </row>
    <row r="23" spans="1:7" customFormat="1" ht="30" x14ac:dyDescent="0.25">
      <c r="A23" s="8" t="s">
        <v>62</v>
      </c>
      <c r="B23" s="9" t="s">
        <v>26</v>
      </c>
      <c r="C23" s="5"/>
      <c r="D23" s="6">
        <f ca="1">NETWORKDAYS.INTL(PENDÊNCIAS!$I$1,C23,1)</f>
        <v>-32812</v>
      </c>
      <c r="E23" s="6">
        <f ca="1">C23-PENDÊNCIAS!$I$1</f>
        <v>-45937</v>
      </c>
      <c r="F23" s="22" t="s">
        <v>63</v>
      </c>
      <c r="G23" s="1"/>
    </row>
    <row r="24" spans="1:7" s="7" customFormat="1" ht="75.75" customHeight="1" x14ac:dyDescent="0.25">
      <c r="A24" s="8" t="s">
        <v>64</v>
      </c>
      <c r="B24" s="9" t="s">
        <v>10</v>
      </c>
      <c r="C24" s="5"/>
      <c r="D24" s="6">
        <f ca="1">NETWORKDAYS.INTL(PENDÊNCIAS!$I$1,C24,1)</f>
        <v>-32812</v>
      </c>
      <c r="E24" s="6">
        <f ca="1">C24-PENDÊNCIAS!$I$1</f>
        <v>-45937</v>
      </c>
      <c r="F24" s="8" t="s">
        <v>65</v>
      </c>
      <c r="G24" s="37"/>
    </row>
    <row r="25" spans="1:7" customFormat="1" x14ac:dyDescent="0.25">
      <c r="A25" s="8" t="s">
        <v>66</v>
      </c>
      <c r="B25" s="6" t="s">
        <v>26</v>
      </c>
      <c r="C25" s="5">
        <v>45757</v>
      </c>
      <c r="D25" s="6">
        <f ca="1">NETWORKDAYS.INTL(PENDÊNCIAS!$I$1,C25,1)</f>
        <v>-129</v>
      </c>
      <c r="E25" s="6">
        <f ca="1">C25-PENDÊNCIAS!$I$1</f>
        <v>-180</v>
      </c>
      <c r="F25" s="29" t="s">
        <v>67</v>
      </c>
      <c r="G25" s="1"/>
    </row>
    <row r="26" spans="1:7" customFormat="1" ht="30" x14ac:dyDescent="0.25">
      <c r="A26" s="8" t="s">
        <v>68</v>
      </c>
      <c r="B26" s="9" t="s">
        <v>26</v>
      </c>
      <c r="C26" s="5">
        <v>45761</v>
      </c>
      <c r="D26" s="6">
        <f ca="1">NETWORKDAYS.INTL(PENDÊNCIAS!$I$1,C26,1)</f>
        <v>-127</v>
      </c>
      <c r="E26" s="6">
        <f ca="1">C26-PENDÊNCIAS!$I$1</f>
        <v>-176</v>
      </c>
      <c r="F26" s="22" t="s">
        <v>69</v>
      </c>
      <c r="G26" s="1">
        <v>1</v>
      </c>
    </row>
    <row r="27" spans="1:7" customFormat="1" ht="30" x14ac:dyDescent="0.25">
      <c r="A27" s="8" t="s">
        <v>70</v>
      </c>
      <c r="B27" s="9" t="s">
        <v>10</v>
      </c>
      <c r="C27" s="5">
        <v>45761</v>
      </c>
      <c r="D27" s="6">
        <f ca="1">NETWORKDAYS.INTL(PENDÊNCIAS!$I$1,C27,1)</f>
        <v>-127</v>
      </c>
      <c r="E27" s="6">
        <f ca="1">C27-PENDÊNCIAS!$I$1</f>
        <v>-176</v>
      </c>
      <c r="F27" s="22" t="s">
        <v>71</v>
      </c>
      <c r="G27" s="1">
        <v>1</v>
      </c>
    </row>
    <row r="28" spans="1:7" customFormat="1" ht="30" x14ac:dyDescent="0.25">
      <c r="A28" s="8" t="s">
        <v>72</v>
      </c>
      <c r="B28" s="9" t="s">
        <v>10</v>
      </c>
      <c r="C28" s="5">
        <v>45761</v>
      </c>
      <c r="D28" s="6">
        <f ca="1">NETWORKDAYS.INTL(PENDÊNCIAS!$I$1,C28,1)</f>
        <v>-127</v>
      </c>
      <c r="E28" s="6">
        <f ca="1">C28-PENDÊNCIAS!$I$1</f>
        <v>-176</v>
      </c>
      <c r="F28" s="22" t="s">
        <v>59</v>
      </c>
      <c r="G28" s="1">
        <v>1</v>
      </c>
    </row>
    <row r="29" spans="1:7" ht="30" x14ac:dyDescent="0.25">
      <c r="A29" s="8" t="s">
        <v>73</v>
      </c>
      <c r="B29" s="6" t="s">
        <v>26</v>
      </c>
      <c r="C29" s="5">
        <v>45769</v>
      </c>
      <c r="D29" s="6">
        <f ca="1">NETWORKDAYS.INTL(PENDÊNCIAS!$I$1,C29,1)</f>
        <v>-121</v>
      </c>
      <c r="E29" s="6">
        <f ca="1">C29-PENDÊNCIAS!$I$1</f>
        <v>-168</v>
      </c>
      <c r="F29" s="8" t="s">
        <v>74</v>
      </c>
      <c r="G29" s="1">
        <v>1</v>
      </c>
    </row>
    <row r="30" spans="1:7" customFormat="1" ht="45" x14ac:dyDescent="0.25">
      <c r="A30" s="31" t="s">
        <v>75</v>
      </c>
      <c r="B30" s="32"/>
      <c r="C30" s="33">
        <v>45769</v>
      </c>
      <c r="D30" s="34">
        <f ca="1">NETWORKDAYS.INTL(PENDÊNCIAS!$I$1,C30,1)</f>
        <v>-121</v>
      </c>
      <c r="E30" s="34">
        <f ca="1">C30-PENDÊNCIAS!$I$1</f>
        <v>-168</v>
      </c>
      <c r="F30" s="35" t="s">
        <v>69</v>
      </c>
      <c r="G30" s="1">
        <v>1</v>
      </c>
    </row>
    <row r="31" spans="1:7" customFormat="1" ht="45" x14ac:dyDescent="0.25">
      <c r="A31" s="31" t="s">
        <v>76</v>
      </c>
      <c r="B31" s="32"/>
      <c r="C31" s="33">
        <v>45769</v>
      </c>
      <c r="D31" s="34">
        <f ca="1">NETWORKDAYS.INTL(PENDÊNCIAS!$I$1,C31,1)</f>
        <v>-121</v>
      </c>
      <c r="E31" s="34">
        <f ca="1">C31-PENDÊNCIAS!$I$1</f>
        <v>-168</v>
      </c>
      <c r="F31" s="35" t="s">
        <v>69</v>
      </c>
      <c r="G31" s="1">
        <v>1</v>
      </c>
    </row>
    <row r="32" spans="1:7" ht="45" x14ac:dyDescent="0.25">
      <c r="A32" s="8" t="s">
        <v>77</v>
      </c>
      <c r="B32" s="6"/>
      <c r="C32" s="5">
        <v>45763</v>
      </c>
      <c r="D32" s="6">
        <f ca="1">NETWORKDAYS.INTL(PENDÊNCIAS!$I$1,C32,1)</f>
        <v>-125</v>
      </c>
      <c r="E32" s="6">
        <f ca="1">C32-PENDÊNCIAS!$I$1</f>
        <v>-174</v>
      </c>
      <c r="F32" s="8" t="s">
        <v>78</v>
      </c>
    </row>
    <row r="33" spans="1:7" customFormat="1" ht="30" x14ac:dyDescent="0.25">
      <c r="A33" s="8" t="s">
        <v>79</v>
      </c>
      <c r="B33" s="9"/>
      <c r="C33" s="5">
        <v>45775</v>
      </c>
      <c r="D33" s="6">
        <f ca="1">NETWORKDAYS.INTL(PENDÊNCIAS!$I$1,C33,1)</f>
        <v>-117</v>
      </c>
      <c r="E33" s="6">
        <f ca="1">C33-PENDÊNCIAS!$I$1</f>
        <v>-162</v>
      </c>
      <c r="F33" s="22"/>
      <c r="G33" s="1">
        <v>1</v>
      </c>
    </row>
    <row r="34" spans="1:7" customFormat="1" ht="30" x14ac:dyDescent="0.25">
      <c r="A34" s="8" t="s">
        <v>80</v>
      </c>
      <c r="B34" s="9"/>
      <c r="C34" s="5">
        <v>45775</v>
      </c>
      <c r="D34" s="6">
        <f ca="1">NETWORKDAYS.INTL(PENDÊNCIAS!$I$1,C34,1)</f>
        <v>-117</v>
      </c>
      <c r="E34" s="6">
        <f ca="1">C34-PENDÊNCIAS!$I$1</f>
        <v>-162</v>
      </c>
      <c r="F34" s="22"/>
      <c r="G34" s="1">
        <v>3</v>
      </c>
    </row>
    <row r="35" spans="1:7" customFormat="1" ht="30" x14ac:dyDescent="0.25">
      <c r="A35" s="8" t="s">
        <v>81</v>
      </c>
      <c r="B35" s="9"/>
      <c r="C35" s="5">
        <v>45775</v>
      </c>
      <c r="D35" s="6">
        <f ca="1">NETWORKDAYS.INTL(PENDÊNCIAS!$I$1,C35,1)</f>
        <v>-117</v>
      </c>
      <c r="E35" s="6">
        <f ca="1">C35-PENDÊNCIAS!$I$1</f>
        <v>-162</v>
      </c>
      <c r="F35" s="22"/>
      <c r="G35" s="1">
        <v>1</v>
      </c>
    </row>
    <row r="36" spans="1:7" customFormat="1" ht="30" x14ac:dyDescent="0.25">
      <c r="A36" s="8" t="s">
        <v>82</v>
      </c>
      <c r="B36" s="9"/>
      <c r="C36" s="5">
        <v>45782</v>
      </c>
      <c r="D36" s="6">
        <f ca="1">NETWORKDAYS.INTL(PENDÊNCIAS!$I$1,C36,1)</f>
        <v>-112</v>
      </c>
      <c r="E36" s="6">
        <f ca="1">C36-PENDÊNCIAS!$I$1</f>
        <v>-155</v>
      </c>
      <c r="F36" s="22"/>
      <c r="G36" s="1">
        <v>1</v>
      </c>
    </row>
    <row r="37" spans="1:7" customFormat="1" ht="30" x14ac:dyDescent="0.25">
      <c r="A37" s="8" t="s">
        <v>83</v>
      </c>
      <c r="B37" s="9"/>
      <c r="C37" s="5">
        <v>45491</v>
      </c>
      <c r="D37" s="6">
        <f ca="1">NETWORKDAYS.INTL(PENDÊNCIAS!$I$1,C37,1)</f>
        <v>-319</v>
      </c>
      <c r="E37" s="6">
        <f ca="1">C37-PENDÊNCIAS!$I$1</f>
        <v>-446</v>
      </c>
      <c r="F37" s="22" t="s">
        <v>84</v>
      </c>
      <c r="G37" s="1"/>
    </row>
    <row r="38" spans="1:7" customFormat="1" ht="30" x14ac:dyDescent="0.25">
      <c r="A38" s="8" t="s">
        <v>85</v>
      </c>
      <c r="B38" s="9" t="s">
        <v>10</v>
      </c>
      <c r="C38" s="5">
        <v>45709</v>
      </c>
      <c r="D38" s="6">
        <f ca="1">NETWORKDAYS.INTL(PENDÊNCIAS!$I$1,C38,1)</f>
        <v>-163</v>
      </c>
      <c r="E38" s="6">
        <f ca="1">C38-PENDÊNCIAS!$I$1</f>
        <v>-228</v>
      </c>
      <c r="F38" s="8" t="s">
        <v>86</v>
      </c>
      <c r="G38" s="1"/>
    </row>
    <row r="39" spans="1:7" ht="45" x14ac:dyDescent="0.25">
      <c r="A39" s="8" t="s">
        <v>87</v>
      </c>
      <c r="B39" s="9" t="s">
        <v>10</v>
      </c>
      <c r="C39" s="5">
        <v>45803</v>
      </c>
      <c r="D39" s="6">
        <f ca="1">NETWORKDAYS.INTL(PENDÊNCIAS!$I$1,C39,1)</f>
        <v>-97</v>
      </c>
      <c r="E39" s="6">
        <f ca="1">C39-PENDÊNCIAS!$I$1</f>
        <v>-134</v>
      </c>
      <c r="F39" s="23" t="s">
        <v>88</v>
      </c>
      <c r="G39" s="1">
        <v>1</v>
      </c>
    </row>
    <row r="40" spans="1:7" customFormat="1" ht="30" x14ac:dyDescent="0.25">
      <c r="A40" s="8" t="s">
        <v>89</v>
      </c>
      <c r="B40" s="9" t="s">
        <v>30</v>
      </c>
      <c r="C40" s="5">
        <v>45803</v>
      </c>
      <c r="D40" s="6">
        <f ca="1">NETWORKDAYS.INTL(PENDÊNCIAS!$I$1,C40,1)</f>
        <v>-97</v>
      </c>
      <c r="E40" s="6">
        <f ca="1">C40-PENDÊNCIAS!$I$1</f>
        <v>-134</v>
      </c>
      <c r="F40" s="8" t="s">
        <v>90</v>
      </c>
      <c r="G40" s="1">
        <v>4</v>
      </c>
    </row>
    <row r="41" spans="1:7" customFormat="1" ht="30" x14ac:dyDescent="0.25">
      <c r="A41" s="8" t="s">
        <v>91</v>
      </c>
      <c r="B41" s="9" t="s">
        <v>10</v>
      </c>
      <c r="C41" s="5">
        <v>45803</v>
      </c>
      <c r="D41" s="6">
        <f ca="1">NETWORKDAYS.INTL(PENDÊNCIAS!$I$1,C41,1)</f>
        <v>-97</v>
      </c>
      <c r="E41" s="6">
        <f ca="1">C41-PENDÊNCIAS!$I$1</f>
        <v>-134</v>
      </c>
      <c r="F41" s="36" t="s">
        <v>92</v>
      </c>
      <c r="G41" s="1">
        <v>1</v>
      </c>
    </row>
    <row r="42" spans="1:7" customFormat="1" ht="30" x14ac:dyDescent="0.25">
      <c r="A42" s="8" t="s">
        <v>93</v>
      </c>
      <c r="B42" s="9" t="s">
        <v>26</v>
      </c>
      <c r="C42" s="5">
        <v>45800</v>
      </c>
      <c r="D42" s="6">
        <f ca="1">NETWORKDAYS.INTL(PENDÊNCIAS!$I$1,C42,1)</f>
        <v>-98</v>
      </c>
      <c r="E42" s="6">
        <f ca="1">C42-PENDÊNCIAS!$I$1</f>
        <v>-137</v>
      </c>
      <c r="F42" s="22" t="s">
        <v>94</v>
      </c>
      <c r="G42" s="1"/>
    </row>
    <row r="43" spans="1:7" customFormat="1" x14ac:dyDescent="0.25">
      <c r="A43" s="8" t="s">
        <v>95</v>
      </c>
      <c r="B43" s="9" t="s">
        <v>10</v>
      </c>
      <c r="C43" s="5">
        <v>45467</v>
      </c>
      <c r="D43" s="6">
        <f ca="1">NETWORKDAYS.INTL(PENDÊNCIAS!$I$1,C43,1)</f>
        <v>-337</v>
      </c>
      <c r="E43" s="6">
        <f ca="1">C43-PENDÊNCIAS!$I$1</f>
        <v>-470</v>
      </c>
      <c r="F43" s="8"/>
      <c r="G43" s="1"/>
    </row>
    <row r="44" spans="1:7" customFormat="1" ht="30" x14ac:dyDescent="0.25">
      <c r="A44" s="8" t="s">
        <v>96</v>
      </c>
      <c r="B44" s="9"/>
      <c r="C44" s="5">
        <v>45831</v>
      </c>
      <c r="D44" s="6">
        <f ca="1">NETWORKDAYS.INTL(PENDÊNCIAS!$I$1,C44,1)</f>
        <v>-77</v>
      </c>
      <c r="E44" s="6">
        <f ca="1">C44-PENDÊNCIAS!$I$1</f>
        <v>-106</v>
      </c>
      <c r="F44" s="8" t="s">
        <v>97</v>
      </c>
      <c r="G44" s="1">
        <v>2</v>
      </c>
    </row>
    <row r="45" spans="1:7" customFormat="1" ht="30" x14ac:dyDescent="0.25">
      <c r="A45" s="8" t="s">
        <v>98</v>
      </c>
      <c r="B45" s="9"/>
      <c r="C45" s="5">
        <v>45838</v>
      </c>
      <c r="D45" s="6">
        <f ca="1">NETWORKDAYS.INTL(PENDÊNCIAS!$I$1,C45,1)</f>
        <v>-72</v>
      </c>
      <c r="E45" s="6">
        <f ca="1">C45-PENDÊNCIAS!$I$1</f>
        <v>-99</v>
      </c>
      <c r="F45" s="8"/>
      <c r="G45" s="1">
        <v>1</v>
      </c>
    </row>
    <row r="46" spans="1:7" customFormat="1" ht="45" x14ac:dyDescent="0.25">
      <c r="A46" s="8" t="s">
        <v>99</v>
      </c>
      <c r="B46" s="9"/>
      <c r="C46" s="5">
        <v>45838</v>
      </c>
      <c r="D46" s="6">
        <f ca="1">NETWORKDAYS.INTL(PENDÊNCIAS!$I$1,C46,1)</f>
        <v>-72</v>
      </c>
      <c r="E46" s="6">
        <f ca="1">C46-PENDÊNCIAS!$I$1</f>
        <v>-99</v>
      </c>
      <c r="F46" s="8" t="s">
        <v>100</v>
      </c>
      <c r="G46" s="1">
        <v>1</v>
      </c>
    </row>
    <row r="47" spans="1:7" customFormat="1" ht="30" x14ac:dyDescent="0.25">
      <c r="A47" s="8" t="s">
        <v>101</v>
      </c>
      <c r="B47" s="9"/>
      <c r="C47" s="5">
        <v>45838</v>
      </c>
      <c r="D47" s="6">
        <f ca="1">NETWORKDAYS.INTL(PENDÊNCIAS!$I$1,C47,1)</f>
        <v>-72</v>
      </c>
      <c r="E47" s="6">
        <f ca="1">C47-PENDÊNCIAS!$I$1</f>
        <v>-99</v>
      </c>
      <c r="F47" s="8"/>
      <c r="G47" s="1">
        <v>2</v>
      </c>
    </row>
    <row r="48" spans="1:7" customFormat="1" ht="30" x14ac:dyDescent="0.25">
      <c r="A48" s="8" t="s">
        <v>102</v>
      </c>
      <c r="B48" s="9" t="s">
        <v>103</v>
      </c>
      <c r="C48" s="5">
        <v>45846</v>
      </c>
      <c r="D48" s="6">
        <f ca="1">NETWORKDAYS.INTL(PENDÊNCIAS!$I$1,C48,1)</f>
        <v>-66</v>
      </c>
      <c r="E48" s="6">
        <f ca="1">C48-PENDÊNCIAS!$I$1</f>
        <v>-91</v>
      </c>
      <c r="F48" s="14" t="s">
        <v>104</v>
      </c>
      <c r="G48" s="1"/>
    </row>
    <row r="49" spans="1:7" customFormat="1" ht="30" x14ac:dyDescent="0.25">
      <c r="A49" s="8" t="s">
        <v>105</v>
      </c>
      <c r="B49" s="9" t="s">
        <v>26</v>
      </c>
      <c r="C49" s="5">
        <v>45860</v>
      </c>
      <c r="D49" s="6">
        <f ca="1">NETWORKDAYS.INTL(PENDÊNCIAS!$I$1,C49,1)</f>
        <v>-56</v>
      </c>
      <c r="E49" s="6">
        <f ca="1">C49-PENDÊNCIAS!$I$1</f>
        <v>-77</v>
      </c>
      <c r="F49" s="8" t="s">
        <v>106</v>
      </c>
      <c r="G49" s="1">
        <v>1</v>
      </c>
    </row>
    <row r="50" spans="1:7" customFormat="1" ht="30" x14ac:dyDescent="0.25">
      <c r="A50" s="8" t="s">
        <v>107</v>
      </c>
      <c r="B50" s="9" t="s">
        <v>10</v>
      </c>
      <c r="C50" s="5">
        <v>45852</v>
      </c>
      <c r="D50" s="6">
        <f ca="1">NETWORKDAYS.INTL(PENDÊNCIAS!$I$1,C50,1)</f>
        <v>-62</v>
      </c>
      <c r="E50" s="6">
        <f ca="1">C50-PENDÊNCIAS!$I$1</f>
        <v>-85</v>
      </c>
      <c r="F50" s="8"/>
      <c r="G50" s="1">
        <v>1</v>
      </c>
    </row>
    <row r="51" spans="1:7" customFormat="1" ht="30" x14ac:dyDescent="0.25">
      <c r="A51" s="8" t="s">
        <v>108</v>
      </c>
      <c r="B51" s="9" t="s">
        <v>26</v>
      </c>
      <c r="C51" s="5">
        <v>45860</v>
      </c>
      <c r="D51" s="6">
        <f ca="1">NETWORKDAYS.INTL(PENDÊNCIAS!$I$1,C51,1)</f>
        <v>-56</v>
      </c>
      <c r="E51" s="6">
        <f ca="1">C51-PENDÊNCIAS!$I$1</f>
        <v>-77</v>
      </c>
      <c r="F51" s="8"/>
      <c r="G51" s="1">
        <v>16</v>
      </c>
    </row>
    <row r="52" spans="1:7" customFormat="1" ht="30" x14ac:dyDescent="0.25">
      <c r="A52" s="8" t="s">
        <v>109</v>
      </c>
      <c r="B52" s="9" t="s">
        <v>26</v>
      </c>
      <c r="C52" s="5">
        <v>45860</v>
      </c>
      <c r="D52" s="6">
        <f ca="1">NETWORKDAYS.INTL(PENDÊNCIAS!$I$1,C52,1)</f>
        <v>-56</v>
      </c>
      <c r="E52" s="6">
        <f ca="1">C52-PENDÊNCIAS!$I$1</f>
        <v>-77</v>
      </c>
      <c r="F52" s="8"/>
      <c r="G52" s="1">
        <v>2</v>
      </c>
    </row>
    <row r="53" spans="1:7" ht="30" x14ac:dyDescent="0.25">
      <c r="A53" s="8" t="s">
        <v>110</v>
      </c>
      <c r="B53" s="9"/>
      <c r="C53" s="5">
        <v>45867</v>
      </c>
      <c r="D53" s="6">
        <f ca="1">NETWORKDAYS.INTL(PENDÊNCIAS!$I$1,C53,1)</f>
        <v>-51</v>
      </c>
      <c r="E53" s="6">
        <f ca="1">C53-PENDÊNCIAS!$I$1</f>
        <v>-70</v>
      </c>
      <c r="F53" s="8"/>
      <c r="G53" s="1">
        <v>4</v>
      </c>
    </row>
    <row r="54" spans="1:7" customFormat="1" ht="30" x14ac:dyDescent="0.25">
      <c r="A54" s="8" t="s">
        <v>111</v>
      </c>
      <c r="B54" s="9"/>
      <c r="C54" s="5">
        <v>45880</v>
      </c>
      <c r="D54" s="6">
        <f ca="1">NETWORKDAYS.INTL(PENDÊNCIAS!$I$1,C54,1)</f>
        <v>-42</v>
      </c>
      <c r="E54" s="6">
        <f ca="1">C54-PENDÊNCIAS!$I$1</f>
        <v>-57</v>
      </c>
      <c r="F54" s="8"/>
      <c r="G54" s="1">
        <v>1</v>
      </c>
    </row>
    <row r="55" spans="1:7" customFormat="1" ht="30" x14ac:dyDescent="0.25">
      <c r="A55" s="8" t="s">
        <v>112</v>
      </c>
      <c r="B55" s="9"/>
      <c r="C55" s="5">
        <v>45881</v>
      </c>
      <c r="D55" s="6">
        <f ca="1">NETWORKDAYS.INTL(PENDÊNCIAS!$I$1,C55,1)</f>
        <v>-41</v>
      </c>
      <c r="E55" s="6">
        <f ca="1">C55-PENDÊNCIAS!$I$1</f>
        <v>-56</v>
      </c>
      <c r="F55" s="8"/>
      <c r="G55" s="1">
        <v>1</v>
      </c>
    </row>
    <row r="56" spans="1:7" customFormat="1" ht="30" x14ac:dyDescent="0.25">
      <c r="A56" s="8" t="s">
        <v>113</v>
      </c>
      <c r="B56" s="9"/>
      <c r="C56" s="5">
        <v>45888</v>
      </c>
      <c r="D56" s="6">
        <f ca="1">NETWORKDAYS.INTL(PENDÊNCIAS!$I$1,C56,1)</f>
        <v>-36</v>
      </c>
      <c r="E56" s="6">
        <f ca="1">C56-PENDÊNCIAS!$I$1</f>
        <v>-49</v>
      </c>
      <c r="F56" s="8"/>
      <c r="G56" s="1">
        <v>1</v>
      </c>
    </row>
    <row r="57" spans="1:7" customFormat="1" ht="30" x14ac:dyDescent="0.25">
      <c r="A57" s="8" t="s">
        <v>114</v>
      </c>
      <c r="B57" s="9" t="s">
        <v>26</v>
      </c>
      <c r="C57" s="5">
        <v>45894</v>
      </c>
      <c r="D57" s="6">
        <f ca="1">NETWORKDAYS.INTL(PENDÊNCIAS!$I$1,C57,1)</f>
        <v>-32</v>
      </c>
      <c r="E57" s="6">
        <f ca="1">C57-PENDÊNCIAS!$I$1</f>
        <v>-43</v>
      </c>
      <c r="F57" s="8"/>
      <c r="G57" s="1">
        <v>3</v>
      </c>
    </row>
    <row r="58" spans="1:7" customFormat="1" x14ac:dyDescent="0.25">
      <c r="A58" s="8" t="s">
        <v>115</v>
      </c>
      <c r="B58" s="9" t="s">
        <v>26</v>
      </c>
      <c r="C58" s="5">
        <v>45868</v>
      </c>
      <c r="D58" s="6">
        <f ca="1">NETWORKDAYS.INTL(PENDÊNCIAS!$I$1,C58,1)</f>
        <v>-50</v>
      </c>
      <c r="E58" s="6">
        <f ca="1">C58-PENDÊNCIAS!$I$1</f>
        <v>-69</v>
      </c>
      <c r="F58" s="8"/>
      <c r="G58" s="1"/>
    </row>
    <row r="59" spans="1:7" customFormat="1" ht="30" x14ac:dyDescent="0.25">
      <c r="A59" s="8" t="s">
        <v>116</v>
      </c>
      <c r="B59" s="9" t="s">
        <v>26</v>
      </c>
      <c r="C59" s="5">
        <v>45901</v>
      </c>
      <c r="D59" s="6">
        <f ca="1">NETWORKDAYS.INTL(PENDÊNCIAS!$I$1,C59,1)</f>
        <v>-27</v>
      </c>
      <c r="E59" s="6">
        <f ca="1">C59-PENDÊNCIAS!$I$1</f>
        <v>-36</v>
      </c>
      <c r="F59" s="8"/>
      <c r="G59" s="1">
        <v>1</v>
      </c>
    </row>
    <row r="60" spans="1:7" customFormat="1" ht="45" x14ac:dyDescent="0.25">
      <c r="A60" s="8" t="s">
        <v>117</v>
      </c>
      <c r="B60" s="9" t="s">
        <v>103</v>
      </c>
      <c r="C60" s="5">
        <v>45870</v>
      </c>
      <c r="D60" s="6">
        <f ca="1">NETWORKDAYS.INTL(PENDÊNCIAS!$I$1,C60,1)</f>
        <v>-48</v>
      </c>
      <c r="E60" s="6">
        <f ca="1">C60-PENDÊNCIAS!$I$1</f>
        <v>-67</v>
      </c>
      <c r="F60" s="8" t="s">
        <v>118</v>
      </c>
      <c r="G60" s="1"/>
    </row>
    <row r="61" spans="1:7" customFormat="1" ht="30" x14ac:dyDescent="0.25">
      <c r="A61" s="8" t="s">
        <v>119</v>
      </c>
      <c r="B61" s="9" t="s">
        <v>26</v>
      </c>
      <c r="C61" s="5">
        <v>45894</v>
      </c>
      <c r="D61" s="6">
        <f ca="1">NETWORKDAYS.INTL(PENDÊNCIAS!$I$1,C61,1)</f>
        <v>-32</v>
      </c>
      <c r="E61" s="6">
        <f ca="1">C61-PENDÊNCIAS!$I$1</f>
        <v>-43</v>
      </c>
      <c r="F61" s="8"/>
      <c r="G61" s="1">
        <v>18</v>
      </c>
    </row>
    <row r="62" spans="1:7" customFormat="1" ht="30" x14ac:dyDescent="0.25">
      <c r="A62" s="8" t="s">
        <v>120</v>
      </c>
      <c r="B62" s="9" t="s">
        <v>26</v>
      </c>
      <c r="C62" s="5">
        <v>45908</v>
      </c>
      <c r="D62" s="6">
        <f ca="1">NETWORKDAYS.INTL(PENDÊNCIAS!$I$1,C62,1)</f>
        <v>-22</v>
      </c>
      <c r="E62" s="6">
        <f ca="1">C62-PENDÊNCIAS!$I$1</f>
        <v>-29</v>
      </c>
      <c r="F62" s="8"/>
      <c r="G62" s="1">
        <v>2</v>
      </c>
    </row>
    <row r="63" spans="1:7" customFormat="1" ht="30" x14ac:dyDescent="0.25">
      <c r="A63" s="8" t="s">
        <v>121</v>
      </c>
      <c r="B63" s="9" t="s">
        <v>26</v>
      </c>
      <c r="C63" s="5">
        <v>45910</v>
      </c>
      <c r="D63" s="6">
        <f ca="1">NETWORKDAYS.INTL(PENDÊNCIAS!$I$1,C63,1)</f>
        <v>-20</v>
      </c>
      <c r="E63" s="6">
        <f ca="1">C63-PENDÊNCIAS!$I$1</f>
        <v>-27</v>
      </c>
      <c r="F63" s="8"/>
      <c r="G63" s="1">
        <v>1</v>
      </c>
    </row>
    <row r="64" spans="1:7" customFormat="1" ht="30" x14ac:dyDescent="0.25">
      <c r="A64" s="8" t="s">
        <v>122</v>
      </c>
      <c r="B64" s="9" t="s">
        <v>26</v>
      </c>
      <c r="C64" s="5">
        <v>45908</v>
      </c>
      <c r="D64" s="6">
        <f ca="1">NETWORKDAYS.INTL(PENDÊNCIAS!$I$1,C64,1)</f>
        <v>-22</v>
      </c>
      <c r="E64" s="6">
        <f ca="1">C64-PENDÊNCIAS!$I$1</f>
        <v>-29</v>
      </c>
      <c r="F64" s="8"/>
      <c r="G64" s="1">
        <v>1</v>
      </c>
    </row>
    <row r="65" spans="1:7" customFormat="1" ht="30" x14ac:dyDescent="0.25">
      <c r="A65" s="8" t="s">
        <v>123</v>
      </c>
      <c r="B65" s="9" t="s">
        <v>26</v>
      </c>
      <c r="C65" s="5">
        <v>45895</v>
      </c>
      <c r="D65" s="6">
        <f ca="1">NETWORKDAYS.INTL(PENDÊNCIAS!$I$1,C65,1)</f>
        <v>-31</v>
      </c>
      <c r="E65" s="6">
        <f ca="1">C65-PENDÊNCIAS!$I$1</f>
        <v>-42</v>
      </c>
      <c r="F65" s="8" t="s">
        <v>124</v>
      </c>
      <c r="G65" s="1">
        <v>11</v>
      </c>
    </row>
    <row r="66" spans="1:7" customFormat="1" ht="30" x14ac:dyDescent="0.25">
      <c r="A66" s="8" t="s">
        <v>125</v>
      </c>
      <c r="B66" s="9" t="s">
        <v>26</v>
      </c>
      <c r="C66" s="5">
        <v>45922</v>
      </c>
      <c r="D66" s="6">
        <f ca="1">NETWORKDAYS.INTL(PENDÊNCIAS!$I$1,C66,1)</f>
        <v>-12</v>
      </c>
      <c r="E66" s="6">
        <f ca="1">C66-PENDÊNCIAS!$I$1</f>
        <v>-15</v>
      </c>
      <c r="F66" s="8"/>
      <c r="G66" s="1">
        <v>1</v>
      </c>
    </row>
    <row r="67" spans="1:7" customFormat="1" ht="30" x14ac:dyDescent="0.25">
      <c r="A67" s="8" t="s">
        <v>126</v>
      </c>
      <c r="B67" s="9" t="s">
        <v>26</v>
      </c>
      <c r="C67" s="5">
        <v>45922</v>
      </c>
      <c r="D67" s="6">
        <f ca="1">NETWORKDAYS.INTL(PENDÊNCIAS!$I$1,C67,1)</f>
        <v>-12</v>
      </c>
      <c r="E67" s="6">
        <f ca="1">C67-PENDÊNCIAS!$I$1</f>
        <v>-15</v>
      </c>
      <c r="F67" s="8"/>
      <c r="G67" s="1">
        <v>1</v>
      </c>
    </row>
    <row r="68" spans="1:7" customFormat="1" ht="30" x14ac:dyDescent="0.25">
      <c r="A68" s="8" t="s">
        <v>127</v>
      </c>
      <c r="B68" s="9"/>
      <c r="C68" s="5">
        <v>45923</v>
      </c>
      <c r="D68" s="6">
        <f ca="1">NETWORKDAYS.INTL(PENDÊNCIAS!$I$1,C68,1)</f>
        <v>-11</v>
      </c>
      <c r="E68" s="6">
        <f ca="1">C68-PENDÊNCIAS!$I$1</f>
        <v>-14</v>
      </c>
      <c r="F68" s="8"/>
      <c r="G68" s="1">
        <v>1</v>
      </c>
    </row>
    <row r="69" spans="1:7" customFormat="1" ht="30" x14ac:dyDescent="0.25">
      <c r="A69" s="8" t="s">
        <v>128</v>
      </c>
      <c r="B69" s="9"/>
      <c r="C69" s="5">
        <v>45924</v>
      </c>
      <c r="D69" s="6">
        <f ca="1">NETWORKDAYS.INTL(PENDÊNCIAS!$I$1,C69,1)</f>
        <v>-10</v>
      </c>
      <c r="E69" s="6">
        <f ca="1">C69-PENDÊNCIAS!$I$1</f>
        <v>-13</v>
      </c>
      <c r="F69" s="8"/>
      <c r="G69" s="1">
        <v>1</v>
      </c>
    </row>
  </sheetData>
  <hyperlinks>
    <hyperlink ref="F48" r:id="rId1" xr:uid="{8169D308-FDDF-4B38-B58F-211FCA7C4AB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7730-6774-425A-9D9B-44D76A265272}">
  <sheetPr codeName="Planilha3"/>
  <dimension ref="A1:H79"/>
  <sheetViews>
    <sheetView zoomScaleNormal="100" workbookViewId="0">
      <selection activeCell="A48" sqref="A48"/>
    </sheetView>
  </sheetViews>
  <sheetFormatPr defaultColWidth="9.140625" defaultRowHeight="15" x14ac:dyDescent="0.25"/>
  <cols>
    <col min="1" max="1" width="67.28515625" style="2" customWidth="1"/>
    <col min="2" max="2" width="14.5703125" style="1" bestFit="1" customWidth="1"/>
    <col min="3" max="3" width="10.7109375" style="1" bestFit="1" customWidth="1"/>
    <col min="4" max="5" width="9.140625" style="1"/>
    <col min="6" max="6" width="62.140625" style="1" customWidth="1"/>
    <col min="7" max="7" width="9.140625" style="1"/>
    <col min="8" max="8" width="10.7109375" style="1" bestFit="1" customWidth="1"/>
    <col min="9" max="16384" width="9.140625" style="1"/>
  </cols>
  <sheetData>
    <row r="1" spans="1:8" ht="4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3"/>
      <c r="H1" s="12" t="s">
        <v>7</v>
      </c>
    </row>
    <row r="2" spans="1:8" x14ac:dyDescent="0.25">
      <c r="A2" s="4" t="s">
        <v>129</v>
      </c>
      <c r="B2" s="6" t="s">
        <v>130</v>
      </c>
      <c r="C2" s="5">
        <v>45329</v>
      </c>
      <c r="D2" s="6">
        <f t="shared" ref="D2:D8" ca="1" si="0">NETWORKDAYS.INTL($H$2,C2,1)</f>
        <v>-435</v>
      </c>
      <c r="E2" s="6">
        <f t="shared" ref="E2:E8" ca="1" si="1">C2-$H$2</f>
        <v>-608</v>
      </c>
      <c r="F2" s="8" t="s">
        <v>131</v>
      </c>
      <c r="G2" s="7"/>
      <c r="H2" s="5">
        <f ca="1">TODAY()</f>
        <v>45937</v>
      </c>
    </row>
    <row r="3" spans="1:8" ht="45" x14ac:dyDescent="0.25">
      <c r="A3" s="4" t="s">
        <v>132</v>
      </c>
      <c r="B3" s="6"/>
      <c r="C3" s="5">
        <v>45329</v>
      </c>
      <c r="D3" s="6">
        <f t="shared" ca="1" si="0"/>
        <v>-435</v>
      </c>
      <c r="E3" s="6">
        <f t="shared" ca="1" si="1"/>
        <v>-608</v>
      </c>
      <c r="F3" s="8" t="s">
        <v>133</v>
      </c>
      <c r="G3" s="7"/>
    </row>
    <row r="4" spans="1:8" ht="30" x14ac:dyDescent="0.25">
      <c r="A4" s="4" t="s">
        <v>134</v>
      </c>
      <c r="B4" s="6"/>
      <c r="C4" s="5">
        <v>45334</v>
      </c>
      <c r="D4" s="6">
        <f t="shared" ca="1" si="0"/>
        <v>-432</v>
      </c>
      <c r="E4" s="6">
        <f t="shared" ca="1" si="1"/>
        <v>-603</v>
      </c>
      <c r="F4" s="13" t="s">
        <v>135</v>
      </c>
      <c r="G4" s="7"/>
      <c r="H4" s="7"/>
    </row>
    <row r="5" spans="1:8" ht="30" x14ac:dyDescent="0.25">
      <c r="A5" s="4" t="s">
        <v>136</v>
      </c>
      <c r="B5" s="6" t="s">
        <v>137</v>
      </c>
      <c r="C5" s="5">
        <v>45348</v>
      </c>
      <c r="D5" s="6">
        <f t="shared" ca="1" si="0"/>
        <v>-422</v>
      </c>
      <c r="E5" s="6">
        <f t="shared" ca="1" si="1"/>
        <v>-589</v>
      </c>
      <c r="F5" s="8" t="s">
        <v>138</v>
      </c>
      <c r="G5" s="7"/>
      <c r="H5" s="7"/>
    </row>
    <row r="6" spans="1:8" x14ac:dyDescent="0.25">
      <c r="A6" s="4" t="s">
        <v>139</v>
      </c>
      <c r="B6" s="6" t="s">
        <v>137</v>
      </c>
      <c r="C6" s="5">
        <v>45348</v>
      </c>
      <c r="D6" s="6">
        <f t="shared" ca="1" si="0"/>
        <v>-422</v>
      </c>
      <c r="E6" s="6">
        <f t="shared" ca="1" si="1"/>
        <v>-589</v>
      </c>
      <c r="F6" s="8" t="s">
        <v>140</v>
      </c>
      <c r="G6" s="7"/>
      <c r="H6" s="7"/>
    </row>
    <row r="7" spans="1:8" ht="75" x14ac:dyDescent="0.25">
      <c r="A7" s="4" t="s">
        <v>141</v>
      </c>
      <c r="B7" s="6" t="s">
        <v>142</v>
      </c>
      <c r="C7" s="5">
        <v>45338</v>
      </c>
      <c r="D7" s="6">
        <f t="shared" ca="1" si="0"/>
        <v>-428</v>
      </c>
      <c r="E7" s="6">
        <f t="shared" ca="1" si="1"/>
        <v>-599</v>
      </c>
      <c r="F7" s="8" t="s">
        <v>143</v>
      </c>
      <c r="G7" s="7"/>
      <c r="H7" s="7"/>
    </row>
    <row r="8" spans="1:8" ht="105" x14ac:dyDescent="0.25">
      <c r="A8" s="8" t="s">
        <v>144</v>
      </c>
      <c r="B8" s="6" t="s">
        <v>26</v>
      </c>
      <c r="C8" s="5">
        <v>45369</v>
      </c>
      <c r="D8" s="6">
        <f t="shared" ca="1" si="0"/>
        <v>-407</v>
      </c>
      <c r="E8" s="6">
        <f t="shared" ca="1" si="1"/>
        <v>-568</v>
      </c>
      <c r="F8" s="8" t="s">
        <v>145</v>
      </c>
    </row>
    <row r="9" spans="1:8" ht="30" x14ac:dyDescent="0.25">
      <c r="A9" s="8" t="s">
        <v>146</v>
      </c>
      <c r="B9" s="6" t="s">
        <v>26</v>
      </c>
      <c r="C9" s="5">
        <v>45376</v>
      </c>
      <c r="D9" s="6">
        <f ca="1">NETWORKDAYS.INTL(PENDÊNCIAS!$I$1,C9,1)</f>
        <v>-402</v>
      </c>
      <c r="E9" s="6">
        <f ca="1">C9-PENDÊNCIAS!$I$1</f>
        <v>-561</v>
      </c>
      <c r="F9" s="8" t="s">
        <v>147</v>
      </c>
    </row>
    <row r="10" spans="1:8" ht="120" x14ac:dyDescent="0.25">
      <c r="A10" s="4" t="s">
        <v>148</v>
      </c>
      <c r="B10" s="6"/>
      <c r="C10" s="5">
        <v>45379</v>
      </c>
      <c r="D10" s="6">
        <f ca="1">NETWORKDAYS.INTL(PENDÊNCIAS!$I$1,C10,1)</f>
        <v>-399</v>
      </c>
      <c r="E10" s="6">
        <f ca="1">C10-PENDÊNCIAS!$I$1</f>
        <v>-558</v>
      </c>
      <c r="F10" s="8" t="s">
        <v>149</v>
      </c>
    </row>
    <row r="11" spans="1:8" ht="30" x14ac:dyDescent="0.25">
      <c r="A11" s="8" t="s">
        <v>150</v>
      </c>
      <c r="B11" s="6" t="s">
        <v>26</v>
      </c>
      <c r="C11" s="5">
        <v>45383</v>
      </c>
      <c r="D11" s="6">
        <f ca="1">NETWORKDAYS.INTL(PENDÊNCIAS!$I$1,C11,1)</f>
        <v>-397</v>
      </c>
      <c r="E11" s="6">
        <f ca="1">C11-PENDÊNCIAS!$I$1</f>
        <v>-554</v>
      </c>
      <c r="F11" s="8" t="s">
        <v>151</v>
      </c>
    </row>
    <row r="12" spans="1:8" ht="30" x14ac:dyDescent="0.25">
      <c r="A12" s="8" t="s">
        <v>152</v>
      </c>
      <c r="B12" s="6" t="s">
        <v>26</v>
      </c>
      <c r="C12" s="5">
        <v>45383</v>
      </c>
      <c r="D12" s="6">
        <f ca="1">NETWORKDAYS.INTL(PENDÊNCIAS!$I$1,C12,1)</f>
        <v>-397</v>
      </c>
      <c r="E12" s="6">
        <f ca="1">C12-PENDÊNCIAS!$I$1</f>
        <v>-554</v>
      </c>
      <c r="F12" s="8" t="s">
        <v>153</v>
      </c>
    </row>
    <row r="13" spans="1:8" ht="30" x14ac:dyDescent="0.25">
      <c r="A13" s="8" t="s">
        <v>154</v>
      </c>
      <c r="B13" s="6" t="s">
        <v>26</v>
      </c>
      <c r="C13" s="5">
        <v>45390</v>
      </c>
      <c r="D13" s="6">
        <f ca="1">NETWORKDAYS.INTL(PENDÊNCIAS!$I$1,C13,1)</f>
        <v>-392</v>
      </c>
      <c r="E13" s="6">
        <f ca="1">C13-PENDÊNCIAS!$I$1</f>
        <v>-547</v>
      </c>
      <c r="F13" s="8"/>
    </row>
    <row r="14" spans="1:8" ht="30" x14ac:dyDescent="0.25">
      <c r="A14" s="4" t="s">
        <v>155</v>
      </c>
      <c r="B14" s="6" t="s">
        <v>10</v>
      </c>
      <c r="C14" s="5">
        <v>45392</v>
      </c>
      <c r="D14" s="6">
        <f ca="1">NETWORKDAYS.INTL(PENDÊNCIAS!$I$1,C14,1)</f>
        <v>-390</v>
      </c>
      <c r="E14" s="6">
        <f ca="1">C14-PENDÊNCIAS!$I$1</f>
        <v>-545</v>
      </c>
      <c r="F14" s="14" t="s">
        <v>156</v>
      </c>
    </row>
    <row r="15" spans="1:8" x14ac:dyDescent="0.25">
      <c r="A15" s="4" t="s">
        <v>157</v>
      </c>
      <c r="B15" s="6"/>
      <c r="C15" s="5">
        <v>45394</v>
      </c>
      <c r="D15" s="6">
        <f ca="1">NETWORKDAYS.INTL(PENDÊNCIAS!$I$1,C15,1)</f>
        <v>-388</v>
      </c>
      <c r="E15" s="6">
        <f ca="1">C15-PENDÊNCIAS!$I$1</f>
        <v>-543</v>
      </c>
      <c r="F15" s="8" t="s">
        <v>158</v>
      </c>
    </row>
    <row r="16" spans="1:8" ht="45" x14ac:dyDescent="0.25">
      <c r="A16" s="8" t="s">
        <v>159</v>
      </c>
      <c r="B16" s="6" t="s">
        <v>26</v>
      </c>
      <c r="C16" s="5">
        <v>45411</v>
      </c>
      <c r="D16" s="6">
        <f ca="1">NETWORKDAYS.INTL(PENDÊNCIAS!$I$1,C16,1)</f>
        <v>-377</v>
      </c>
      <c r="E16" s="6">
        <f ca="1">C16-PENDÊNCIAS!$I$1</f>
        <v>-526</v>
      </c>
      <c r="F16" s="8" t="s">
        <v>160</v>
      </c>
    </row>
    <row r="17" spans="1:6" x14ac:dyDescent="0.25">
      <c r="A17" s="4" t="s">
        <v>161</v>
      </c>
      <c r="B17" s="6" t="s">
        <v>26</v>
      </c>
      <c r="C17" s="5">
        <v>45404</v>
      </c>
      <c r="D17" s="6">
        <f ca="1">NETWORKDAYS.INTL(PENDÊNCIAS!$I$1,C17,1)</f>
        <v>-382</v>
      </c>
      <c r="E17" s="6">
        <f ca="1">C17-PENDÊNCIAS!$I$1</f>
        <v>-533</v>
      </c>
      <c r="F17" s="8"/>
    </row>
    <row r="18" spans="1:6" x14ac:dyDescent="0.25">
      <c r="A18" s="8" t="s">
        <v>162</v>
      </c>
      <c r="B18" s="6"/>
      <c r="C18" s="5"/>
      <c r="D18" s="6"/>
      <c r="E18" s="6"/>
      <c r="F18" s="8" t="s">
        <v>163</v>
      </c>
    </row>
    <row r="19" spans="1:6" ht="30" x14ac:dyDescent="0.25">
      <c r="A19" s="8" t="s">
        <v>164</v>
      </c>
      <c r="B19" s="6" t="s">
        <v>26</v>
      </c>
      <c r="C19" s="5">
        <v>45406</v>
      </c>
      <c r="D19" s="6">
        <f ca="1">NETWORKDAYS.INTL(PENDÊNCIAS!$I$1,C19,1)</f>
        <v>-380</v>
      </c>
      <c r="E19" s="6">
        <f ca="1">C19-PENDÊNCIAS!$I$1</f>
        <v>-531</v>
      </c>
      <c r="F19" s="8"/>
    </row>
    <row r="20" spans="1:6" ht="60" x14ac:dyDescent="0.25">
      <c r="A20" s="4" t="s">
        <v>165</v>
      </c>
      <c r="B20" s="6" t="s">
        <v>30</v>
      </c>
      <c r="C20" s="5"/>
      <c r="D20" s="6">
        <f ca="1">NETWORKDAYS.INTL(PENDÊNCIAS!$I$1,C20,1)</f>
        <v>-32812</v>
      </c>
      <c r="E20" s="6">
        <f ca="1">C20-PENDÊNCIAS!$I$1</f>
        <v>-45937</v>
      </c>
      <c r="F20" s="8" t="s">
        <v>166</v>
      </c>
    </row>
    <row r="21" spans="1:6" ht="30" x14ac:dyDescent="0.25">
      <c r="A21" s="17" t="s">
        <v>167</v>
      </c>
      <c r="B21" s="15"/>
      <c r="C21" s="15"/>
      <c r="D21" s="6">
        <f ca="1">NETWORKDAYS.INTL(PENDÊNCIAS!$I$1,C21,1)</f>
        <v>-32812</v>
      </c>
      <c r="E21" s="6">
        <f ca="1">C21-PENDÊNCIAS!$I$1</f>
        <v>-45937</v>
      </c>
      <c r="F21" s="16" t="s">
        <v>168</v>
      </c>
    </row>
    <row r="22" spans="1:6" x14ac:dyDescent="0.25">
      <c r="A22" s="4" t="s">
        <v>169</v>
      </c>
      <c r="B22" s="6" t="s">
        <v>170</v>
      </c>
      <c r="C22" s="5">
        <v>45401</v>
      </c>
      <c r="D22" s="6">
        <f ca="1">NETWORKDAYS.INTL(PENDÊNCIAS!$I$1,C22,1)</f>
        <v>-383</v>
      </c>
      <c r="E22" s="6">
        <f ca="1">C22-PENDÊNCIAS!$I$1</f>
        <v>-536</v>
      </c>
      <c r="F22" s="8" t="s">
        <v>171</v>
      </c>
    </row>
    <row r="23" spans="1:6" ht="30" x14ac:dyDescent="0.25">
      <c r="A23" s="8" t="s">
        <v>172</v>
      </c>
      <c r="B23" s="6" t="s">
        <v>26</v>
      </c>
      <c r="C23" s="5">
        <v>45415</v>
      </c>
      <c r="D23" s="6">
        <f ca="1">NETWORKDAYS.INTL(PENDÊNCIAS!$I$1,C23,1)</f>
        <v>-373</v>
      </c>
      <c r="E23" s="6">
        <f ca="1">C23-PENDÊNCIAS!$I$1</f>
        <v>-522</v>
      </c>
      <c r="F23" s="8" t="s">
        <v>173</v>
      </c>
    </row>
    <row r="24" spans="1:6" ht="30" x14ac:dyDescent="0.25">
      <c r="A24" s="8" t="s">
        <v>174</v>
      </c>
      <c r="B24" s="6" t="s">
        <v>26</v>
      </c>
      <c r="C24" s="5">
        <v>45414</v>
      </c>
      <c r="D24" s="6">
        <f ca="1">NETWORKDAYS.INTL(PENDÊNCIAS!$I$1,C24,1)</f>
        <v>-374</v>
      </c>
      <c r="E24" s="6">
        <f ca="1">C24-PENDÊNCIAS!$I$1</f>
        <v>-523</v>
      </c>
      <c r="F24" s="8"/>
    </row>
    <row r="25" spans="1:6" ht="270" x14ac:dyDescent="0.25">
      <c r="A25" s="8" t="s">
        <v>175</v>
      </c>
      <c r="B25" s="6" t="s">
        <v>26</v>
      </c>
      <c r="C25" s="5"/>
      <c r="D25" s="6">
        <f ca="1">NETWORKDAYS.INTL(PENDÊNCIAS!$I$1,C25,1)</f>
        <v>-32812</v>
      </c>
      <c r="E25" s="6">
        <f ca="1">C25-PENDÊNCIAS!$I$1</f>
        <v>-45937</v>
      </c>
      <c r="F25" s="8" t="s">
        <v>176</v>
      </c>
    </row>
    <row r="26" spans="1:6" s="7" customFormat="1" ht="90" x14ac:dyDescent="0.25">
      <c r="A26" s="8" t="s">
        <v>177</v>
      </c>
      <c r="B26" s="9" t="s">
        <v>26</v>
      </c>
      <c r="C26" s="5"/>
      <c r="D26" s="6">
        <f ca="1">NETWORKDAYS.INTL(PENDÊNCIAS!$I$1,C26,1)</f>
        <v>-32812</v>
      </c>
      <c r="E26" s="6">
        <f ca="1">C26-PENDÊNCIAS!$I$1</f>
        <v>-45937</v>
      </c>
      <c r="F26" s="8" t="s">
        <v>178</v>
      </c>
    </row>
    <row r="27" spans="1:6" ht="90" x14ac:dyDescent="0.25">
      <c r="A27" s="18" t="s">
        <v>179</v>
      </c>
      <c r="B27" s="19"/>
      <c r="C27" s="20"/>
      <c r="D27" s="21">
        <f ca="1">NETWORKDAYS.INTL(PENDÊNCIAS!$I$1,C27,1)</f>
        <v>-32812</v>
      </c>
      <c r="E27" s="21">
        <f ca="1">C27-PENDÊNCIAS!$I$1</f>
        <v>-45937</v>
      </c>
      <c r="F27" s="18" t="s">
        <v>180</v>
      </c>
    </row>
    <row r="28" spans="1:6" ht="30" x14ac:dyDescent="0.25">
      <c r="A28" s="8" t="s">
        <v>181</v>
      </c>
      <c r="B28" s="9" t="s">
        <v>26</v>
      </c>
      <c r="C28" s="5" t="s">
        <v>182</v>
      </c>
      <c r="D28" s="6" t="e">
        <f ca="1">NETWORKDAYS.INTL(PENDÊNCIAS!$I$1,C28,1)</f>
        <v>#VALUE!</v>
      </c>
      <c r="E28" s="6" t="e">
        <f ca="1">C28-PENDÊNCIAS!$I$1</f>
        <v>#VALUE!</v>
      </c>
      <c r="F28" s="8" t="s">
        <v>183</v>
      </c>
    </row>
    <row r="29" spans="1:6" ht="30" x14ac:dyDescent="0.25">
      <c r="A29" s="8" t="s">
        <v>184</v>
      </c>
      <c r="B29" s="9" t="s">
        <v>26</v>
      </c>
      <c r="C29" s="5" t="s">
        <v>182</v>
      </c>
      <c r="D29" s="6" t="e">
        <f ca="1">NETWORKDAYS.INTL(PENDÊNCIAS!$I$1,C29,1)</f>
        <v>#VALUE!</v>
      </c>
      <c r="E29" s="6" t="e">
        <f ca="1">C29-PENDÊNCIAS!$I$1</f>
        <v>#VALUE!</v>
      </c>
      <c r="F29" s="8" t="s">
        <v>185</v>
      </c>
    </row>
    <row r="30" spans="1:6" ht="60" x14ac:dyDescent="0.25">
      <c r="A30" s="8" t="s">
        <v>186</v>
      </c>
      <c r="B30" s="9" t="s">
        <v>26</v>
      </c>
      <c r="C30" s="5"/>
      <c r="D30" s="6">
        <f ca="1">NETWORKDAYS.INTL(PENDÊNCIAS!$I$1,C30,1)</f>
        <v>-32812</v>
      </c>
      <c r="E30" s="6">
        <f ca="1">C30-PENDÊNCIAS!$I$1</f>
        <v>-45937</v>
      </c>
      <c r="F30" s="8" t="s">
        <v>187</v>
      </c>
    </row>
    <row r="31" spans="1:6" s="7" customFormat="1" ht="195" x14ac:dyDescent="0.25">
      <c r="A31" s="8" t="s">
        <v>188</v>
      </c>
      <c r="B31" s="9" t="s">
        <v>26</v>
      </c>
      <c r="C31" s="5"/>
      <c r="D31" s="6">
        <f ca="1">NETWORKDAYS.INTL(PENDÊNCIAS!$I$1,C31,1)</f>
        <v>-32812</v>
      </c>
      <c r="E31" s="6">
        <f ca="1">C31-PENDÊNCIAS!$I$1</f>
        <v>-45937</v>
      </c>
      <c r="F31" s="8" t="s">
        <v>189</v>
      </c>
    </row>
    <row r="32" spans="1:6" ht="30" x14ac:dyDescent="0.25">
      <c r="A32" s="8" t="s">
        <v>190</v>
      </c>
      <c r="B32" s="9" t="s">
        <v>26</v>
      </c>
      <c r="C32" s="5">
        <v>45440</v>
      </c>
      <c r="D32" s="6">
        <f ca="1">NETWORKDAYS.INTL(PENDÊNCIAS!$I$1,C32,1)</f>
        <v>-356</v>
      </c>
      <c r="E32" s="6">
        <f ca="1">C32-PENDÊNCIAS!$I$1</f>
        <v>-497</v>
      </c>
      <c r="F32" s="8" t="s">
        <v>191</v>
      </c>
    </row>
    <row r="33" spans="1:6" ht="30" x14ac:dyDescent="0.25">
      <c r="A33" s="8" t="s">
        <v>192</v>
      </c>
      <c r="B33" s="9" t="s">
        <v>26</v>
      </c>
      <c r="C33" s="5">
        <v>45453</v>
      </c>
      <c r="D33" s="6">
        <f ca="1">NETWORKDAYS.INTL(PENDÊNCIAS!$I$1,C33,1)</f>
        <v>-347</v>
      </c>
      <c r="E33" s="6">
        <f ca="1">C33-PENDÊNCIAS!$I$1</f>
        <v>-484</v>
      </c>
      <c r="F33" s="8"/>
    </row>
    <row r="34" spans="1:6" ht="60" x14ac:dyDescent="0.25">
      <c r="A34" s="8" t="s">
        <v>193</v>
      </c>
      <c r="B34" s="9" t="s">
        <v>26</v>
      </c>
      <c r="C34" s="5">
        <v>45446</v>
      </c>
      <c r="D34" s="6">
        <f ca="1">NETWORKDAYS.INTL(PENDÊNCIAS!$I$1,C34,1)</f>
        <v>-352</v>
      </c>
      <c r="E34" s="6">
        <f ca="1">C34-PENDÊNCIAS!$I$1</f>
        <v>-491</v>
      </c>
      <c r="F34" s="8"/>
    </row>
    <row r="35" spans="1:6" ht="30" x14ac:dyDescent="0.25">
      <c r="A35" s="8" t="s">
        <v>194</v>
      </c>
      <c r="B35" s="6" t="s">
        <v>10</v>
      </c>
      <c r="C35" s="5"/>
      <c r="D35" s="6"/>
      <c r="E35" s="6"/>
      <c r="F35" s="8" t="s">
        <v>195</v>
      </c>
    </row>
    <row r="36" spans="1:6" customFormat="1" ht="90" x14ac:dyDescent="0.25">
      <c r="A36" s="8" t="s">
        <v>196</v>
      </c>
      <c r="B36" s="9" t="s">
        <v>26</v>
      </c>
      <c r="C36" s="5"/>
      <c r="D36" s="6">
        <f ca="1">NETWORKDAYS.INTL(PENDÊNCIAS!$I$1,C36,1)</f>
        <v>-32812</v>
      </c>
      <c r="E36" s="6">
        <f ca="1">C36-PENDÊNCIAS!$I$1</f>
        <v>-45937</v>
      </c>
      <c r="F36" s="22" t="s">
        <v>197</v>
      </c>
    </row>
    <row r="37" spans="1:6" ht="30" x14ac:dyDescent="0.25">
      <c r="A37" s="8" t="s">
        <v>198</v>
      </c>
      <c r="B37" s="9" t="s">
        <v>30</v>
      </c>
      <c r="C37" s="5">
        <v>45474</v>
      </c>
      <c r="D37" s="6">
        <f ca="1">NETWORKDAYS.INTL(PENDÊNCIAS!$I$1,C37,1)</f>
        <v>-332</v>
      </c>
      <c r="E37" s="6">
        <f ca="1">C37-PENDÊNCIAS!$I$1</f>
        <v>-463</v>
      </c>
      <c r="F37" s="8" t="s">
        <v>199</v>
      </c>
    </row>
    <row r="38" spans="1:6" customFormat="1" ht="75" x14ac:dyDescent="0.25">
      <c r="A38" s="8" t="s">
        <v>200</v>
      </c>
      <c r="B38" s="9" t="s">
        <v>10</v>
      </c>
      <c r="C38" s="5">
        <v>45474</v>
      </c>
      <c r="D38" s="6">
        <f ca="1">NETWORKDAYS.INTL(PENDÊNCIAS!$I$1,C38,1)</f>
        <v>-332</v>
      </c>
      <c r="E38" s="6">
        <f ca="1">C38-PENDÊNCIAS!$I$1</f>
        <v>-463</v>
      </c>
      <c r="F38" s="8" t="s">
        <v>201</v>
      </c>
    </row>
    <row r="39" spans="1:6" ht="30" x14ac:dyDescent="0.25">
      <c r="A39" s="8" t="s">
        <v>202</v>
      </c>
      <c r="B39" s="9" t="s">
        <v>26</v>
      </c>
      <c r="C39" s="5">
        <v>45495</v>
      </c>
      <c r="D39" s="6">
        <f ca="1">NETWORKDAYS.INTL(PENDÊNCIAS!$I$1,C39,1)</f>
        <v>-317</v>
      </c>
      <c r="E39" s="6">
        <f ca="1">C39-PENDÊNCIAS!$I$1</f>
        <v>-442</v>
      </c>
      <c r="F39" s="8" t="s">
        <v>203</v>
      </c>
    </row>
    <row r="40" spans="1:6" ht="30" x14ac:dyDescent="0.25">
      <c r="A40" s="8" t="s">
        <v>204</v>
      </c>
      <c r="B40" s="9" t="s">
        <v>26</v>
      </c>
      <c r="C40" s="5">
        <v>45495</v>
      </c>
      <c r="D40" s="6">
        <f ca="1">NETWORKDAYS.INTL(PENDÊNCIAS!$I$1,C40,1)</f>
        <v>-317</v>
      </c>
      <c r="E40" s="6">
        <f ca="1">C40-PENDÊNCIAS!$I$1</f>
        <v>-442</v>
      </c>
      <c r="F40" s="8" t="s">
        <v>205</v>
      </c>
    </row>
    <row r="41" spans="1:6" ht="105" x14ac:dyDescent="0.25">
      <c r="A41" s="8" t="s">
        <v>206</v>
      </c>
      <c r="B41" s="9" t="s">
        <v>26</v>
      </c>
      <c r="C41" s="5">
        <v>45495</v>
      </c>
      <c r="D41" s="6">
        <f ca="1">NETWORKDAYS.INTL(PENDÊNCIAS!$I$1,C41,1)</f>
        <v>-317</v>
      </c>
      <c r="E41" s="6">
        <f ca="1">C41-PENDÊNCIAS!$I$1</f>
        <v>-442</v>
      </c>
      <c r="F41" s="8" t="s">
        <v>207</v>
      </c>
    </row>
    <row r="42" spans="1:6" ht="45" x14ac:dyDescent="0.25">
      <c r="A42" s="8" t="s">
        <v>208</v>
      </c>
      <c r="B42" s="9"/>
      <c r="C42" s="5">
        <v>45491</v>
      </c>
      <c r="D42" s="6">
        <f ca="1">NETWORKDAYS.INTL(PENDÊNCIAS!$I$1,C42,1)</f>
        <v>-319</v>
      </c>
      <c r="E42" s="6">
        <f ca="1">C42-PENDÊNCIAS!$I$1</f>
        <v>-446</v>
      </c>
      <c r="F42" s="22" t="s">
        <v>209</v>
      </c>
    </row>
    <row r="43" spans="1:6" ht="30" x14ac:dyDescent="0.25">
      <c r="A43" s="8" t="s">
        <v>210</v>
      </c>
      <c r="B43" s="9" t="s">
        <v>30</v>
      </c>
      <c r="C43" s="5">
        <v>45509</v>
      </c>
      <c r="D43" s="6">
        <f ca="1">NETWORKDAYS.INTL(PENDÊNCIAS!$I$1,C43,1)</f>
        <v>-307</v>
      </c>
      <c r="E43" s="6">
        <f ca="1">C43-PENDÊNCIAS!$I$1</f>
        <v>-428</v>
      </c>
      <c r="F43" s="8" t="s">
        <v>59</v>
      </c>
    </row>
    <row r="44" spans="1:6" ht="45" x14ac:dyDescent="0.25">
      <c r="A44" s="8" t="s">
        <v>211</v>
      </c>
      <c r="B44" s="9" t="s">
        <v>10</v>
      </c>
      <c r="C44" s="5">
        <v>45509</v>
      </c>
      <c r="D44" s="6">
        <f ca="1">NETWORKDAYS.INTL(PENDÊNCIAS!$I$1,C44,1)</f>
        <v>-307</v>
      </c>
      <c r="E44" s="6">
        <f ca="1">C44-PENDÊNCIAS!$I$1</f>
        <v>-428</v>
      </c>
      <c r="F44" s="8" t="s">
        <v>212</v>
      </c>
    </row>
    <row r="45" spans="1:6" ht="45" x14ac:dyDescent="0.25">
      <c r="A45" s="8" t="s">
        <v>213</v>
      </c>
      <c r="B45" s="9" t="s">
        <v>26</v>
      </c>
      <c r="C45" s="5">
        <v>45530</v>
      </c>
      <c r="D45" s="6">
        <f ca="1">NETWORKDAYS.INTL(PENDÊNCIAS!$I$1,C45,1)</f>
        <v>-292</v>
      </c>
      <c r="E45" s="6">
        <f ca="1">C45-PENDÊNCIAS!$I$1</f>
        <v>-407</v>
      </c>
      <c r="F45" s="8" t="s">
        <v>214</v>
      </c>
    </row>
    <row r="46" spans="1:6" ht="60" x14ac:dyDescent="0.25">
      <c r="A46" s="8" t="s">
        <v>215</v>
      </c>
      <c r="B46" s="9" t="s">
        <v>26</v>
      </c>
      <c r="C46" s="5">
        <v>45558</v>
      </c>
      <c r="D46" s="6">
        <f ca="1">NETWORKDAYS.INTL(PENDÊNCIAS!$I$1,C46,1)</f>
        <v>-272</v>
      </c>
      <c r="E46" s="6">
        <f ca="1">C46-PENDÊNCIAS!$I$1</f>
        <v>-379</v>
      </c>
      <c r="F46" s="8" t="s">
        <v>216</v>
      </c>
    </row>
    <row r="47" spans="1:6" ht="30" x14ac:dyDescent="0.25">
      <c r="A47" s="8" t="s">
        <v>217</v>
      </c>
      <c r="B47" s="9" t="s">
        <v>26</v>
      </c>
      <c r="C47" s="5">
        <v>45540</v>
      </c>
      <c r="D47" s="6">
        <f ca="1">NETWORKDAYS.INTL(PENDÊNCIAS!$I$1,C47,1)</f>
        <v>-284</v>
      </c>
      <c r="E47" s="6">
        <f ca="1">C47-PENDÊNCIAS!$I$1</f>
        <v>-397</v>
      </c>
      <c r="F47" s="8" t="s">
        <v>218</v>
      </c>
    </row>
    <row r="48" spans="1:6" x14ac:dyDescent="0.25">
      <c r="A48" s="8" t="s">
        <v>219</v>
      </c>
      <c r="B48" s="9" t="s">
        <v>10</v>
      </c>
      <c r="C48" s="5">
        <v>45534</v>
      </c>
      <c r="D48" s="6">
        <f ca="1">NETWORKDAYS.INTL(PENDÊNCIAS!$I$1,C48,1)</f>
        <v>-288</v>
      </c>
      <c r="E48" s="6">
        <f ca="1">C48-PENDÊNCIAS!$I$1</f>
        <v>-403</v>
      </c>
      <c r="F48" s="22" t="s">
        <v>220</v>
      </c>
    </row>
    <row r="49" spans="1:6" s="7" customFormat="1" ht="409.5" x14ac:dyDescent="0.25">
      <c r="A49" s="8" t="s">
        <v>221</v>
      </c>
      <c r="B49" s="9" t="s">
        <v>30</v>
      </c>
      <c r="C49" s="5"/>
      <c r="D49" s="6">
        <f ca="1">NETWORKDAYS.INTL(PENDÊNCIAS!$I$1,C49,1)</f>
        <v>-32812</v>
      </c>
      <c r="E49" s="6">
        <f ca="1">C49-PENDÊNCIAS!$I$1</f>
        <v>-45937</v>
      </c>
      <c r="F49" s="8" t="s">
        <v>222</v>
      </c>
    </row>
    <row r="50" spans="1:6" s="7" customFormat="1" ht="90" x14ac:dyDescent="0.25">
      <c r="A50" s="8" t="s">
        <v>223</v>
      </c>
      <c r="B50" s="9"/>
      <c r="C50" s="5"/>
      <c r="D50" s="6">
        <f ca="1">NETWORKDAYS.INTL(PENDÊNCIAS!$I$1,C50,1)</f>
        <v>-32812</v>
      </c>
      <c r="E50" s="6">
        <f ca="1">C50-PENDÊNCIAS!$I$1</f>
        <v>-45937</v>
      </c>
      <c r="F50" s="8" t="s">
        <v>224</v>
      </c>
    </row>
    <row r="51" spans="1:6" customFormat="1" x14ac:dyDescent="0.25">
      <c r="A51" s="8" t="s">
        <v>225</v>
      </c>
      <c r="B51" s="9" t="s">
        <v>226</v>
      </c>
      <c r="C51" s="5"/>
      <c r="D51" s="6">
        <f ca="1">NETWORKDAYS.INTL(PENDÊNCIAS!$I$1,C51,1)</f>
        <v>-32812</v>
      </c>
      <c r="E51" s="6">
        <f ca="1">C51-PENDÊNCIAS!$I$1</f>
        <v>-45937</v>
      </c>
      <c r="F51" s="8"/>
    </row>
    <row r="52" spans="1:6" ht="30" x14ac:dyDescent="0.25">
      <c r="A52" s="8" t="s">
        <v>227</v>
      </c>
      <c r="B52" s="9" t="s">
        <v>226</v>
      </c>
      <c r="C52" s="5">
        <v>45565</v>
      </c>
      <c r="D52" s="6">
        <f ca="1">NETWORKDAYS.INTL($H$2,C52,1)</f>
        <v>-267</v>
      </c>
      <c r="E52" s="6">
        <f ca="1">C52-$H$2</f>
        <v>-372</v>
      </c>
      <c r="F52" s="8"/>
    </row>
    <row r="53" spans="1:6" ht="30" x14ac:dyDescent="0.25">
      <c r="A53" s="8" t="s">
        <v>228</v>
      </c>
      <c r="B53" s="9" t="s">
        <v>10</v>
      </c>
      <c r="C53" s="5">
        <v>45570</v>
      </c>
      <c r="D53" s="6">
        <f ca="1">NETWORKDAYS.INTL($H$2,C53,1)</f>
        <v>-262</v>
      </c>
      <c r="E53" s="6">
        <f ca="1">C53-$H$2</f>
        <v>-367</v>
      </c>
      <c r="F53" s="8" t="s">
        <v>229</v>
      </c>
    </row>
    <row r="54" spans="1:6" customFormat="1" ht="30" x14ac:dyDescent="0.25">
      <c r="A54" s="8" t="s">
        <v>230</v>
      </c>
      <c r="B54" s="9" t="s">
        <v>226</v>
      </c>
      <c r="C54" s="5"/>
      <c r="D54" s="6">
        <f ca="1">NETWORKDAYS.INTL(PENDÊNCIAS!$I$1,C54,1)</f>
        <v>-32812</v>
      </c>
      <c r="E54" s="6">
        <f ca="1">C54-PENDÊNCIAS!$I$1</f>
        <v>-45937</v>
      </c>
      <c r="F54" s="22" t="s">
        <v>231</v>
      </c>
    </row>
    <row r="55" spans="1:6" customFormat="1" ht="75" x14ac:dyDescent="0.25">
      <c r="A55" s="8" t="s">
        <v>232</v>
      </c>
      <c r="B55" s="9" t="s">
        <v>10</v>
      </c>
      <c r="C55" s="5"/>
      <c r="D55" s="6">
        <f ca="1">NETWORKDAYS.INTL(PENDÊNCIAS!$I$1,C55,1)</f>
        <v>-32812</v>
      </c>
      <c r="E55" s="6">
        <f ca="1">C55-PENDÊNCIAS!$I$1</f>
        <v>-45937</v>
      </c>
      <c r="F55" s="22" t="s">
        <v>233</v>
      </c>
    </row>
    <row r="56" spans="1:6" customFormat="1" ht="75" x14ac:dyDescent="0.25">
      <c r="A56" s="8" t="s">
        <v>234</v>
      </c>
      <c r="B56" s="9"/>
      <c r="C56" s="5"/>
      <c r="D56" s="6">
        <f ca="1">NETWORKDAYS.INTL(PENDÊNCIAS!$I$1,C56,1)</f>
        <v>-32812</v>
      </c>
      <c r="E56" s="6">
        <f ca="1">C56-PENDÊNCIAS!$I$1</f>
        <v>-45937</v>
      </c>
      <c r="F56" s="22" t="s">
        <v>235</v>
      </c>
    </row>
    <row r="57" spans="1:6" ht="135" x14ac:dyDescent="0.25">
      <c r="A57" s="8" t="s">
        <v>236</v>
      </c>
      <c r="B57" s="9" t="s">
        <v>10</v>
      </c>
      <c r="C57" s="5" t="s">
        <v>182</v>
      </c>
      <c r="D57" s="6" t="e">
        <f ca="1">NETWORKDAYS.INTL(PENDÊNCIAS!$I$1,C57,1)</f>
        <v>#VALUE!</v>
      </c>
      <c r="E57" s="6" t="e">
        <f ca="1">C57-PENDÊNCIAS!$I$1</f>
        <v>#VALUE!</v>
      </c>
      <c r="F57" s="8" t="s">
        <v>237</v>
      </c>
    </row>
    <row r="58" spans="1:6" customFormat="1" ht="60" x14ac:dyDescent="0.25">
      <c r="A58" s="8" t="s">
        <v>238</v>
      </c>
      <c r="B58" s="9" t="s">
        <v>239</v>
      </c>
      <c r="C58" s="5">
        <v>45607</v>
      </c>
      <c r="D58" s="6">
        <f ca="1">NETWORKDAYS.INTL(PENDÊNCIAS!$I$1,C58,1)</f>
        <v>-237</v>
      </c>
      <c r="E58" s="6">
        <f ca="1">C58-PENDÊNCIAS!$I$1</f>
        <v>-330</v>
      </c>
      <c r="F58" s="22" t="s">
        <v>240</v>
      </c>
    </row>
    <row r="59" spans="1:6" customFormat="1" ht="45" x14ac:dyDescent="0.25">
      <c r="A59" s="8" t="s">
        <v>241</v>
      </c>
      <c r="B59" s="9" t="s">
        <v>239</v>
      </c>
      <c r="C59" s="5">
        <v>45615</v>
      </c>
      <c r="D59" s="6">
        <f ca="1">NETWORKDAYS.INTL(PENDÊNCIAS!$I$1,C59,1)</f>
        <v>-231</v>
      </c>
      <c r="E59" s="6">
        <f ca="1">C59-PENDÊNCIAS!$I$1</f>
        <v>-322</v>
      </c>
      <c r="F59" s="22" t="s">
        <v>242</v>
      </c>
    </row>
    <row r="60" spans="1:6" customFormat="1" ht="45" x14ac:dyDescent="0.25">
      <c r="A60" s="8" t="s">
        <v>243</v>
      </c>
      <c r="B60" s="9" t="s">
        <v>239</v>
      </c>
      <c r="C60" s="5">
        <v>45617</v>
      </c>
      <c r="D60" s="6">
        <f ca="1">NETWORKDAYS.INTL(PENDÊNCIAS!$I$1,C60,1)</f>
        <v>-229</v>
      </c>
      <c r="E60" s="6">
        <f ca="1">C60-PENDÊNCIAS!$I$1</f>
        <v>-320</v>
      </c>
      <c r="F60" s="22" t="s">
        <v>244</v>
      </c>
    </row>
    <row r="61" spans="1:6" customFormat="1" ht="45" x14ac:dyDescent="0.25">
      <c r="A61" s="8" t="s">
        <v>245</v>
      </c>
      <c r="B61" s="9" t="s">
        <v>239</v>
      </c>
      <c r="C61" s="5">
        <v>45621</v>
      </c>
      <c r="D61" s="6">
        <f ca="1">NETWORKDAYS.INTL(PENDÊNCIAS!$I$1,C61,1)</f>
        <v>-227</v>
      </c>
      <c r="E61" s="6">
        <f ca="1">C61-PENDÊNCIAS!$I$1</f>
        <v>-316</v>
      </c>
      <c r="F61" s="22" t="s">
        <v>246</v>
      </c>
    </row>
    <row r="62" spans="1:6" customFormat="1" ht="45" x14ac:dyDescent="0.25">
      <c r="A62" s="24" t="s">
        <v>247</v>
      </c>
      <c r="B62" s="25"/>
      <c r="C62" s="26">
        <v>45617</v>
      </c>
      <c r="D62" s="27">
        <f ca="1">NETWORKDAYS.INTL(PENDÊNCIAS!$I$1,C62,1)</f>
        <v>-229</v>
      </c>
      <c r="E62" s="27">
        <f ca="1">C62-PENDÊNCIAS!$I$1</f>
        <v>-320</v>
      </c>
      <c r="F62" s="28" t="s">
        <v>248</v>
      </c>
    </row>
    <row r="63" spans="1:6" ht="30" x14ac:dyDescent="0.25">
      <c r="A63" s="8" t="s">
        <v>249</v>
      </c>
      <c r="B63" s="9" t="s">
        <v>10</v>
      </c>
      <c r="C63" s="5">
        <v>45586</v>
      </c>
      <c r="D63" s="6">
        <f ca="1">NETWORKDAYS.INTL(PENDÊNCIAS!$I$1,C63,1)</f>
        <v>-252</v>
      </c>
      <c r="E63" s="6">
        <f ca="1">C63-PENDÊNCIAS!$I$1</f>
        <v>-351</v>
      </c>
      <c r="F63" s="23" t="s">
        <v>250</v>
      </c>
    </row>
    <row r="64" spans="1:6" ht="45" x14ac:dyDescent="0.25">
      <c r="A64" s="8" t="s">
        <v>251</v>
      </c>
      <c r="B64" s="9" t="s">
        <v>10</v>
      </c>
      <c r="C64" s="5">
        <v>45609</v>
      </c>
      <c r="D64" s="6">
        <f ca="1">NETWORKDAYS.INTL(PENDÊNCIAS!$I$1,C64,1)</f>
        <v>-235</v>
      </c>
      <c r="E64" s="6">
        <f ca="1">C64-PENDÊNCIAS!$I$1</f>
        <v>-328</v>
      </c>
      <c r="F64" s="23" t="s">
        <v>252</v>
      </c>
    </row>
    <row r="65" spans="1:6" customFormat="1" ht="45" x14ac:dyDescent="0.25">
      <c r="A65" s="8" t="s">
        <v>253</v>
      </c>
      <c r="B65" s="9" t="s">
        <v>239</v>
      </c>
      <c r="C65" s="5">
        <v>45617</v>
      </c>
      <c r="D65" s="6">
        <f ca="1">NETWORKDAYS.INTL(PENDÊNCIAS!$I$1,C65,1)</f>
        <v>-229</v>
      </c>
      <c r="E65" s="6">
        <f ca="1">C65-PENDÊNCIAS!$I$1</f>
        <v>-320</v>
      </c>
      <c r="F65" s="22" t="s">
        <v>254</v>
      </c>
    </row>
    <row r="66" spans="1:6" customFormat="1" ht="60" x14ac:dyDescent="0.25">
      <c r="A66" s="8" t="s">
        <v>255</v>
      </c>
      <c r="B66" s="9" t="s">
        <v>239</v>
      </c>
      <c r="C66" s="5">
        <v>45617</v>
      </c>
      <c r="D66" s="6">
        <f ca="1">NETWORKDAYS.INTL(PENDÊNCIAS!$I$1,C66,1)</f>
        <v>-229</v>
      </c>
      <c r="E66" s="6">
        <f ca="1">C66-PENDÊNCIAS!$I$1</f>
        <v>-320</v>
      </c>
      <c r="F66" s="22" t="s">
        <v>256</v>
      </c>
    </row>
    <row r="67" spans="1:6" customFormat="1" ht="45" x14ac:dyDescent="0.25">
      <c r="A67" s="8" t="s">
        <v>257</v>
      </c>
      <c r="B67" s="9" t="s">
        <v>239</v>
      </c>
      <c r="C67" s="5">
        <v>45617</v>
      </c>
      <c r="D67" s="6">
        <f ca="1">NETWORKDAYS.INTL(PENDÊNCIAS!$I$1,C67,1)</f>
        <v>-229</v>
      </c>
      <c r="E67" s="6">
        <f ca="1">C67-PENDÊNCIAS!$I$1</f>
        <v>-320</v>
      </c>
      <c r="F67" s="22" t="s">
        <v>258</v>
      </c>
    </row>
    <row r="68" spans="1:6" customFormat="1" ht="45" x14ac:dyDescent="0.25">
      <c r="A68" s="8" t="s">
        <v>259</v>
      </c>
      <c r="B68" s="9" t="s">
        <v>260</v>
      </c>
      <c r="C68" s="5">
        <v>45621</v>
      </c>
      <c r="D68" s="6">
        <f ca="1">NETWORKDAYS.INTL(PENDÊNCIAS!$I$1,C68,1)</f>
        <v>-227</v>
      </c>
      <c r="E68" s="6">
        <f ca="1">C68-PENDÊNCIAS!$I$1</f>
        <v>-316</v>
      </c>
      <c r="F68" s="22" t="s">
        <v>261</v>
      </c>
    </row>
    <row r="69" spans="1:6" customFormat="1" ht="30" x14ac:dyDescent="0.25">
      <c r="A69" s="8" t="s">
        <v>262</v>
      </c>
      <c r="B69" s="9" t="s">
        <v>260</v>
      </c>
      <c r="C69" s="5">
        <v>45621</v>
      </c>
      <c r="D69" s="6">
        <f ca="1">NETWORKDAYS.INTL(PENDÊNCIAS!$I$1,C69,1)</f>
        <v>-227</v>
      </c>
      <c r="E69" s="6">
        <f ca="1">C69-PENDÊNCIAS!$I$1</f>
        <v>-316</v>
      </c>
      <c r="F69" s="22" t="s">
        <v>263</v>
      </c>
    </row>
    <row r="70" spans="1:6" customFormat="1" ht="45" x14ac:dyDescent="0.25">
      <c r="A70" s="8" t="s">
        <v>264</v>
      </c>
      <c r="B70" s="9" t="s">
        <v>260</v>
      </c>
      <c r="C70" s="5">
        <v>45621</v>
      </c>
      <c r="D70" s="6">
        <f ca="1">NETWORKDAYS.INTL(PENDÊNCIAS!$I$1,C70,1)</f>
        <v>-227</v>
      </c>
      <c r="E70" s="6">
        <f ca="1">C70-PENDÊNCIAS!$I$1</f>
        <v>-316</v>
      </c>
      <c r="F70" s="22" t="s">
        <v>265</v>
      </c>
    </row>
    <row r="71" spans="1:6" customFormat="1" x14ac:dyDescent="0.25">
      <c r="A71" s="8" t="s">
        <v>266</v>
      </c>
      <c r="B71" s="9" t="s">
        <v>10</v>
      </c>
      <c r="C71" s="5">
        <v>45625</v>
      </c>
      <c r="D71" s="6">
        <f ca="1">NETWORKDAYS.INTL(PENDÊNCIAS!$I$1,C71,1)</f>
        <v>-223</v>
      </c>
      <c r="E71" s="6">
        <f ca="1">C71-PENDÊNCIAS!$I$1</f>
        <v>-312</v>
      </c>
      <c r="F71" s="8"/>
    </row>
    <row r="72" spans="1:6" customFormat="1" ht="30" x14ac:dyDescent="0.25">
      <c r="A72" s="8" t="s">
        <v>267</v>
      </c>
      <c r="B72" s="9" t="s">
        <v>10</v>
      </c>
      <c r="C72" s="5">
        <v>45643</v>
      </c>
      <c r="D72" s="6">
        <f ca="1">NETWORKDAYS.INTL(PENDÊNCIAS!$I$1,C72,1)</f>
        <v>-211</v>
      </c>
      <c r="E72" s="6">
        <f ca="1">C72-PENDÊNCIAS!$I$1</f>
        <v>-294</v>
      </c>
      <c r="F72" s="29"/>
    </row>
    <row r="73" spans="1:6" customFormat="1" ht="45" x14ac:dyDescent="0.25">
      <c r="A73" s="8" t="s">
        <v>268</v>
      </c>
      <c r="B73" s="9" t="s">
        <v>26</v>
      </c>
      <c r="C73" s="5">
        <v>45636</v>
      </c>
      <c r="D73" s="6">
        <f ca="1">NETWORKDAYS.INTL(PENDÊNCIAS!$I$1,C73,1)</f>
        <v>-216</v>
      </c>
      <c r="E73" s="6">
        <f ca="1">C73-PENDÊNCIAS!$I$1</f>
        <v>-301</v>
      </c>
      <c r="F73" s="22" t="s">
        <v>269</v>
      </c>
    </row>
    <row r="74" spans="1:6" customFormat="1" ht="30" x14ac:dyDescent="0.25">
      <c r="A74" s="8" t="s">
        <v>270</v>
      </c>
      <c r="B74" s="9" t="s">
        <v>26</v>
      </c>
      <c r="C74" s="5">
        <v>45649</v>
      </c>
      <c r="D74" s="6">
        <f ca="1">NETWORKDAYS.INTL(PENDÊNCIAS!$I$1,C74,1)</f>
        <v>-207</v>
      </c>
      <c r="E74" s="6">
        <f ca="1">C74-PENDÊNCIAS!$I$1</f>
        <v>-288</v>
      </c>
      <c r="F74" s="29"/>
    </row>
    <row r="75" spans="1:6" s="7" customFormat="1" ht="90" x14ac:dyDescent="0.25">
      <c r="A75" s="4" t="s">
        <v>271</v>
      </c>
      <c r="B75" s="6" t="s">
        <v>10</v>
      </c>
      <c r="C75" s="5"/>
      <c r="D75" s="6">
        <f ca="1">NETWORKDAYS.INTL(PENDÊNCIAS!$I$1,C75,1)</f>
        <v>-32812</v>
      </c>
      <c r="E75" s="6">
        <f ca="1">C75-PENDÊNCIAS!$I$1</f>
        <v>-45937</v>
      </c>
      <c r="F75" s="8" t="s">
        <v>272</v>
      </c>
    </row>
    <row r="76" spans="1:6" customFormat="1" ht="30" x14ac:dyDescent="0.25">
      <c r="A76" s="8" t="s">
        <v>273</v>
      </c>
      <c r="B76" s="9" t="s">
        <v>26</v>
      </c>
      <c r="C76" s="5">
        <v>45650</v>
      </c>
      <c r="D76" s="6">
        <f ca="1">NETWORKDAYS.INTL(PENDÊNCIAS!$I$1,C76,1)</f>
        <v>-206</v>
      </c>
      <c r="E76" s="6">
        <f ca="1">C76-PENDÊNCIAS!$I$1</f>
        <v>-287</v>
      </c>
      <c r="F76" s="29"/>
    </row>
    <row r="77" spans="1:6" ht="60" x14ac:dyDescent="0.25">
      <c r="A77" s="30" t="s">
        <v>274</v>
      </c>
      <c r="B77" s="6"/>
      <c r="C77" s="5">
        <v>45331</v>
      </c>
      <c r="D77" s="6">
        <f ca="1">NETWORKDAYS.INTL(PENDÊNCIAS!$I$1,C77,1)</f>
        <v>-433</v>
      </c>
      <c r="E77" s="6">
        <f ca="1">C77-PENDÊNCIAS!$I$1</f>
        <v>-606</v>
      </c>
      <c r="F77" s="8" t="s">
        <v>275</v>
      </c>
    </row>
    <row r="78" spans="1:6" ht="75" x14ac:dyDescent="0.25">
      <c r="A78" s="30" t="s">
        <v>276</v>
      </c>
      <c r="B78" s="6" t="s">
        <v>142</v>
      </c>
      <c r="C78" s="5">
        <v>45344</v>
      </c>
      <c r="D78" s="6">
        <f ca="1">NETWORKDAYS.INTL(PENDÊNCIAS!$I$1,C78,1)</f>
        <v>-424</v>
      </c>
      <c r="E78" s="6">
        <f ca="1">C78-PENDÊNCIAS!$I$1</f>
        <v>-593</v>
      </c>
      <c r="F78" s="8" t="s">
        <v>277</v>
      </c>
    </row>
    <row r="79" spans="1:6" ht="75" x14ac:dyDescent="0.25">
      <c r="A79" s="30" t="s">
        <v>278</v>
      </c>
      <c r="B79" s="6"/>
      <c r="C79" s="5">
        <v>45323</v>
      </c>
      <c r="D79" s="6">
        <f ca="1">NETWORKDAYS.INTL(PENDÊNCIAS!$I$1,C79,1)</f>
        <v>-439</v>
      </c>
      <c r="E79" s="6">
        <f ca="1">C79-PENDÊNCIAS!$I$1</f>
        <v>-614</v>
      </c>
      <c r="F79" s="8" t="s">
        <v>279</v>
      </c>
    </row>
  </sheetData>
  <phoneticPr fontId="2" type="noConversion"/>
  <hyperlinks>
    <hyperlink ref="F4" r:id="rId1" tooltip="Link para Carta" display="../../../infomais/_layouts/15/WopiFrame.aspx?sourcedoc=%2Fsites%2Finfomais%2Fcartaons%2Fcartaons20240122112639%2FCARTA-ONS%20DGL%200121-2024%20-%20Solicita%C3%A7%C3%A3o%20da%20S%C3%A3o%20Paulo%20Obras%2C%20empresa%20p%C3%BAblica%20vinculada%20%C3%A0%20SIURB%20da%20cidade%20de%20S%C3%A3o%20Paulo%2C%20para%20obra%20de%20liga%C3%A7%C3%A3o%20vi%C3%A1ria%20do%20sistema%20Gra%C3%BAna%20-%20Gaivotas%2C%20localizado%20no%20extremo%20Sul%20da%20Capital.docx&amp;action=activepreview" xr:uid="{EB5E6BDA-097F-46FC-BF0C-4300AFC320A0}"/>
    <hyperlink ref="F14" r:id="rId2" xr:uid="{D8588B5E-F343-4965-B595-7B60CD4AAB07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7d895b-0d06-401e-8d56-d3b464182c1a">
      <Terms xmlns="http://schemas.microsoft.com/office/infopath/2007/PartnerControls"/>
    </lcf76f155ced4ddcb4097134ff3c332f>
    <TaxCatchAll xmlns="cc97d4cb-9ef9-4c16-9302-76dc037215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B5BB15AE2CE42815E499AF5777E5A" ma:contentTypeVersion="12" ma:contentTypeDescription="Create a new document." ma:contentTypeScope="" ma:versionID="fb29c66d48102b83c3d50333b72ce116">
  <xsd:schema xmlns:xsd="http://www.w3.org/2001/XMLSchema" xmlns:xs="http://www.w3.org/2001/XMLSchema" xmlns:p="http://schemas.microsoft.com/office/2006/metadata/properties" xmlns:ns2="517d895b-0d06-401e-8d56-d3b464182c1a" xmlns:ns3="cc97d4cb-9ef9-4c16-9302-76dc037215e5" targetNamespace="http://schemas.microsoft.com/office/2006/metadata/properties" ma:root="true" ma:fieldsID="c8b59f885ae90b1e486b0b7af728ea0c" ns2:_="" ns3:_="">
    <xsd:import namespace="517d895b-0d06-401e-8d56-d3b464182c1a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d895b-0d06-401e-8d56-d3b464182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b1c5663-81a7-4912-b3b6-e0c2af691386}" ma:internalName="TaxCatchAll" ma:showField="CatchAllData" ma:web="c4682c95-53f9-4ad2-8d01-7c38d2f1b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0A3DEA-9112-4A5B-932A-8E09E4E422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EA0EA9-B7AD-41F2-8682-A398E74DF1BC}">
  <ds:schemaRefs>
    <ds:schemaRef ds:uri="http://schemas.microsoft.com/office/2006/metadata/properties"/>
    <ds:schemaRef ds:uri="http://schemas.microsoft.com/office/infopath/2007/PartnerControls"/>
    <ds:schemaRef ds:uri="517d895b-0d06-401e-8d56-d3b464182c1a"/>
    <ds:schemaRef ds:uri="cc97d4cb-9ef9-4c16-9302-76dc037215e5"/>
  </ds:schemaRefs>
</ds:datastoreItem>
</file>

<file path=customXml/itemProps3.xml><?xml version="1.0" encoding="utf-8"?>
<ds:datastoreItem xmlns:ds="http://schemas.openxmlformats.org/officeDocument/2006/customXml" ds:itemID="{1A5D715F-96B7-48E0-9523-370341E98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7d895b-0d06-401e-8d56-d3b464182c1a"/>
    <ds:schemaRef ds:uri="cc97d4cb-9ef9-4c16-9302-76dc03721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PENDÊNCIAS</vt:lpstr>
      <vt:lpstr>CONCLUÍDOS 2025</vt:lpstr>
      <vt:lpstr>CONCLUÍDOS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Rodrigues Nunes</dc:creator>
  <cp:keywords/>
  <dc:description/>
  <cp:lastModifiedBy>Pedro Victor Rodrigues Veras</cp:lastModifiedBy>
  <cp:revision/>
  <dcterms:created xsi:type="dcterms:W3CDTF">2023-05-15T13:04:00Z</dcterms:created>
  <dcterms:modified xsi:type="dcterms:W3CDTF">2025-10-07T13:32:53Z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0x0101002D8B5BB15AE2CE42815E499AF5777E5A</vt:lpwstr>
  </property>
  <property fmtid="{D5CDD505-2E9C-101B-9397-08002B2CF9AE}" pid="3" name="MediaServiceImageTags">
    <vt:lpwstr/>
  </property>
</Properties>
</file>